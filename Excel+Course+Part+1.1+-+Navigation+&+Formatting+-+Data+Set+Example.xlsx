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RA.SHIVARAMAKRISHN\Downloads\"/>
    </mc:Choice>
  </mc:AlternateContent>
  <xr:revisionPtr revIDLastSave="0" documentId="13_ncr:1_{E1E5002A-C80B-4CCE-8556-B4B6442F07E4}" xr6:coauthVersionLast="46" xr6:coauthVersionMax="46" xr10:uidLastSave="{00000000-0000-0000-0000-000000000000}"/>
  <bookViews>
    <workbookView xWindow="-120" yWindow="-120" windowWidth="19800" windowHeight="11760" tabRatio="893" activeTab="5" xr2:uid="{388DB182-E3C0-4F73-BAC6-47CDC1DD239A}"/>
  </bookViews>
  <sheets>
    <sheet name="Copy, Cut, Paste" sheetId="13" r:id="rId1"/>
    <sheet name="January 2020" sheetId="1" r:id="rId2"/>
    <sheet name="February 2020" sheetId="2" r:id="rId3"/>
    <sheet name="March 2020" sheetId="3" r:id="rId4"/>
    <sheet name="April 2020" sheetId="4" r:id="rId5"/>
    <sheet name="May 2020" sheetId="5" r:id="rId6"/>
    <sheet name="June 2020" sheetId="6" r:id="rId7"/>
    <sheet name="July 2020" sheetId="7" r:id="rId8"/>
    <sheet name="August 2020" sheetId="8" r:id="rId9"/>
    <sheet name="September 2020" sheetId="9" r:id="rId10"/>
    <sheet name="October 2020" sheetId="10" r:id="rId11"/>
    <sheet name="November 2020" sheetId="11" r:id="rId12"/>
    <sheet name="December 2020" sheetId="12" r:id="rId13"/>
  </sheets>
  <definedNames>
    <definedName name="_xlnm._FilterDatabase" localSheetId="0" hidden="1">'Copy, Cut, Paste'!$A$1:$K$27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6" i="13" l="1"/>
  <c r="J74" i="1" l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J75" i="1" l="1"/>
  <c r="M2" i="1" l="1"/>
  <c r="I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B27" i="13" l="1"/>
  <c r="M2" i="12"/>
  <c r="M2" i="11"/>
  <c r="M2" i="10"/>
  <c r="M2" i="9"/>
  <c r="M2" i="8"/>
  <c r="M2" i="7"/>
  <c r="M2" i="6"/>
  <c r="M2" i="5"/>
  <c r="M2" i="4" l="1"/>
  <c r="M2" i="3"/>
  <c r="M2" i="2"/>
</calcChain>
</file>

<file path=xl/sharedStrings.xml><?xml version="1.0" encoding="utf-8"?>
<sst xmlns="http://schemas.openxmlformats.org/spreadsheetml/2006/main" count="3756" uniqueCount="53">
  <si>
    <t>Date</t>
  </si>
  <si>
    <t>Year</t>
  </si>
  <si>
    <t>Month</t>
  </si>
  <si>
    <t>Territory</t>
  </si>
  <si>
    <t>Product Code</t>
  </si>
  <si>
    <t>Product Name</t>
  </si>
  <si>
    <t>Manufacturer</t>
  </si>
  <si>
    <t>Sold Qty</t>
  </si>
  <si>
    <t>Jan</t>
  </si>
  <si>
    <t>South</t>
  </si>
  <si>
    <t>Ford-001</t>
  </si>
  <si>
    <t>FORD</t>
  </si>
  <si>
    <t>North</t>
  </si>
  <si>
    <t>East</t>
  </si>
  <si>
    <t>Mitsubishi-001</t>
  </si>
  <si>
    <t>MITSUBISHI</t>
  </si>
  <si>
    <t>West</t>
  </si>
  <si>
    <t>Mitsubishi-002</t>
  </si>
  <si>
    <t>Mitsubishi-003</t>
  </si>
  <si>
    <t>Tata Car-001</t>
  </si>
  <si>
    <t>TATA</t>
  </si>
  <si>
    <t>Tata Car-002</t>
  </si>
  <si>
    <t>Tata Car-003</t>
  </si>
  <si>
    <t>Tata Car-004</t>
  </si>
  <si>
    <t>Toyota-001</t>
  </si>
  <si>
    <t>TOYOTA</t>
  </si>
  <si>
    <t>Toyota-002</t>
  </si>
  <si>
    <t>Toyota-003</t>
  </si>
  <si>
    <t>Selling Price</t>
  </si>
  <si>
    <t>Total</t>
  </si>
  <si>
    <t>Average Selling Price</t>
  </si>
  <si>
    <t>Sales Transaction</t>
  </si>
  <si>
    <t>Feb</t>
  </si>
  <si>
    <t>Mar</t>
  </si>
  <si>
    <t>Apr</t>
  </si>
  <si>
    <t>January Summary:</t>
  </si>
  <si>
    <t>Total Sales</t>
  </si>
  <si>
    <t>Highest Selling Price</t>
  </si>
  <si>
    <t>Top Transaction</t>
  </si>
  <si>
    <t>Function</t>
  </si>
  <si>
    <t>Amount</t>
  </si>
  <si>
    <t>Shortcut</t>
  </si>
  <si>
    <t>Control + X, Control + V</t>
  </si>
  <si>
    <t>Cut, Paste</t>
  </si>
  <si>
    <t>Control + C, Control + V</t>
  </si>
  <si>
    <t>Control + C, Alt + E + S + V</t>
  </si>
  <si>
    <t>Copy, Paste</t>
  </si>
  <si>
    <t>Copy, Paste Special Values</t>
  </si>
  <si>
    <t>Avg. Price</t>
  </si>
  <si>
    <t>1) Control + X, Control + V
2) Control + C, Alt + E + S + T</t>
  </si>
  <si>
    <t>1) Cut, Paste
2) Paste Special Formats</t>
  </si>
  <si>
    <t>Highest Vehicle  Selling Price</t>
  </si>
  <si>
    <t>samsung 1d 860 220 7200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</si>
</sst>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$&quot;* #,##0.00_-;\-&quot;$&quot;* #,##0.00_-;_-&quot;$&quot;* &quot;-&quot;??_-;_-@_-"/>
    <numFmt numFmtId="165" formatCode="_(&quot;$&quot;* #,##0_);_(&quot;$&quot;* \(#,##0\);_(&quot;$&quot;* &quot;-&quot;??_);_(@_)"/>
    <numFmt numFmtId="166" formatCode="#,##0.00;[Red]#,##0.00"/>
    <numFmt numFmtId="167" formatCode="0.00_ ;\-0.00\ "/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0"/>
      <name val="Segoe U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65" fontId="0" fillId="0" borderId="0" xfId="0" applyNumberFormat="1"/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5" fontId="2" fillId="3" borderId="4" xfId="0" applyNumberFormat="1" applyFont="1" applyFill="1" applyBorder="1"/>
    <xf numFmtId="0" fontId="2" fillId="3" borderId="5" xfId="0" applyFont="1" applyFill="1" applyBorder="1" applyAlignment="1">
      <alignment horizontal="center"/>
    </xf>
    <xf numFmtId="0" fontId="2" fillId="3" borderId="5" xfId="0" applyFont="1" applyFill="1" applyBorder="1"/>
    <xf numFmtId="165" fontId="2" fillId="3" borderId="5" xfId="1" applyNumberFormat="1" applyFont="1" applyFill="1" applyBorder="1"/>
    <xf numFmtId="165" fontId="2" fillId="3" borderId="6" xfId="1" applyNumberFormat="1" applyFont="1" applyFill="1" applyBorder="1"/>
    <xf numFmtId="15" fontId="2" fillId="0" borderId="4" xfId="0" applyNumberFormat="1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165" fontId="2" fillId="0" borderId="5" xfId="1" applyNumberFormat="1" applyFont="1" applyBorder="1"/>
    <xf numFmtId="165" fontId="2" fillId="0" borderId="6" xfId="1" applyNumberFormat="1" applyFont="1" applyBorder="1"/>
    <xf numFmtId="15" fontId="2" fillId="3" borderId="2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165" fontId="2" fillId="3" borderId="1" xfId="1" applyNumberFormat="1" applyFont="1" applyFill="1" applyBorder="1"/>
    <xf numFmtId="165" fontId="2" fillId="3" borderId="3" xfId="1" applyNumberFormat="1" applyFont="1" applyFill="1" applyBorder="1"/>
    <xf numFmtId="0" fontId="0" fillId="0" borderId="0" xfId="0" applyFont="1"/>
    <xf numFmtId="0" fontId="0" fillId="0" borderId="7" xfId="0" applyBorder="1"/>
    <xf numFmtId="165" fontId="0" fillId="0" borderId="7" xfId="0" applyNumberFormat="1" applyBorder="1"/>
    <xf numFmtId="0" fontId="2" fillId="0" borderId="0" xfId="0" applyFont="1"/>
    <xf numFmtId="0" fontId="0" fillId="0" borderId="0" xfId="0" applyFont="1" applyFill="1" applyBorder="1"/>
    <xf numFmtId="0" fontId="4" fillId="0" borderId="9" xfId="0" applyFont="1" applyBorder="1"/>
    <xf numFmtId="0" fontId="4" fillId="0" borderId="8" xfId="0" applyFont="1" applyBorder="1"/>
    <xf numFmtId="0" fontId="0" fillId="0" borderId="0" xfId="0" applyAlignment="1">
      <alignment wrapText="1"/>
    </xf>
    <xf numFmtId="166" fontId="0" fillId="0" borderId="0" xfId="0" applyNumberFormat="1"/>
    <xf numFmtId="14" fontId="0" fillId="0" borderId="0" xfId="0" applyNumberFormat="1"/>
    <xf numFmtId="18" fontId="2" fillId="0" borderId="0" xfId="0" applyNumberFormat="1" applyFont="1"/>
    <xf numFmtId="165" fontId="2" fillId="0" borderId="0" xfId="0" applyNumberFormat="1" applyFont="1"/>
    <xf numFmtId="2" fontId="0" fillId="0" borderId="0" xfId="0" applyNumberFormat="1"/>
    <xf numFmtId="167" fontId="0" fillId="0" borderId="0" xfId="1" applyNumberFormat="1" applyFont="1"/>
    <xf numFmtId="168" fontId="2" fillId="3" borderId="4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EB83-52DC-4268-B025-387AA6CF4799}">
  <sheetPr codeName="Sheet13"/>
  <dimension ref="A1:K36"/>
  <sheetViews>
    <sheetView topLeftCell="A15" zoomScaleNormal="100" workbookViewId="0">
      <selection activeCell="D29" sqref="D29"/>
    </sheetView>
  </sheetViews>
  <sheetFormatPr defaultRowHeight="15" x14ac:dyDescent="0.25"/>
  <cols>
    <col min="1" max="1" width="30.140625" customWidth="1"/>
    <col min="2" max="2" width="11.85546875" customWidth="1"/>
    <col min="3" max="3" width="24.7109375" customWidth="1"/>
    <col min="4" max="4" width="25.42578125" customWidth="1"/>
    <col min="5" max="5" width="12.85546875" bestFit="1" customWidth="1"/>
    <col min="6" max="6" width="13.7109375" bestFit="1" customWidth="1"/>
    <col min="7" max="7" width="12.85546875" bestFit="1" customWidth="1"/>
    <col min="8" max="8" width="8.5703125" bestFit="1" customWidth="1"/>
    <col min="9" max="9" width="11.85546875" bestFit="1" customWidth="1"/>
    <col min="10" max="10" width="16.42578125" bestFit="1" customWidth="1"/>
  </cols>
  <sheetData>
    <row r="1" spans="1:1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3" t="s">
        <v>31</v>
      </c>
    </row>
    <row r="2" spans="1:11" x14ac:dyDescent="0.25">
      <c r="A2" s="5">
        <v>43832</v>
      </c>
      <c r="B2" s="6">
        <v>2020</v>
      </c>
      <c r="C2" s="6" t="s">
        <v>8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34353</v>
      </c>
      <c r="J2" s="8">
        <f>I2*H2</f>
        <v>34353</v>
      </c>
    </row>
    <row r="3" spans="1:11" x14ac:dyDescent="0.25">
      <c r="A3" s="10">
        <v>43832</v>
      </c>
      <c r="B3" s="11">
        <v>2020</v>
      </c>
      <c r="C3" s="11" t="s">
        <v>8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41375</v>
      </c>
      <c r="J3" s="13">
        <f t="shared" ref="J3:J20" si="0">I3*H3</f>
        <v>41375</v>
      </c>
    </row>
    <row r="4" spans="1:11" x14ac:dyDescent="0.25">
      <c r="A4" s="5">
        <v>43834</v>
      </c>
      <c r="B4" s="6">
        <v>2020</v>
      </c>
      <c r="C4" s="6" t="s">
        <v>8</v>
      </c>
      <c r="D4" s="6" t="s">
        <v>13</v>
      </c>
      <c r="E4" s="6">
        <v>1008</v>
      </c>
      <c r="F4" s="7" t="s">
        <v>10</v>
      </c>
      <c r="G4" s="6" t="s">
        <v>11</v>
      </c>
      <c r="H4" s="6">
        <v>2</v>
      </c>
      <c r="I4" s="8">
        <v>33873</v>
      </c>
      <c r="J4" s="8">
        <f t="shared" si="0"/>
        <v>67746</v>
      </c>
    </row>
    <row r="5" spans="1:11" x14ac:dyDescent="0.25">
      <c r="A5" s="10">
        <v>43842</v>
      </c>
      <c r="B5" s="11">
        <v>2020</v>
      </c>
      <c r="C5" s="11" t="s">
        <v>8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33821</v>
      </c>
      <c r="J5" s="13">
        <f t="shared" si="0"/>
        <v>33821</v>
      </c>
    </row>
    <row r="6" spans="1:11" x14ac:dyDescent="0.25">
      <c r="A6" s="5">
        <v>43852</v>
      </c>
      <c r="B6" s="6">
        <v>2020</v>
      </c>
      <c r="C6" s="6" t="s">
        <v>8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41016</v>
      </c>
      <c r="J6" s="8">
        <f t="shared" si="0"/>
        <v>41016</v>
      </c>
    </row>
    <row r="7" spans="1:11" x14ac:dyDescent="0.25">
      <c r="A7" s="10">
        <v>43856</v>
      </c>
      <c r="B7" s="11">
        <v>2020</v>
      </c>
      <c r="C7" s="11" t="s">
        <v>8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3</v>
      </c>
      <c r="I7" s="13">
        <v>41648</v>
      </c>
      <c r="J7" s="13">
        <f t="shared" si="0"/>
        <v>124944</v>
      </c>
      <c r="K7" t="s">
        <v>38</v>
      </c>
    </row>
    <row r="8" spans="1:11" x14ac:dyDescent="0.25">
      <c r="A8" s="5">
        <v>43858</v>
      </c>
      <c r="B8" s="6">
        <v>2020</v>
      </c>
      <c r="C8" s="6" t="s">
        <v>8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35301</v>
      </c>
      <c r="J8" s="8">
        <f t="shared" si="0"/>
        <v>35301</v>
      </c>
    </row>
    <row r="9" spans="1:11" x14ac:dyDescent="0.25">
      <c r="A9" s="10">
        <v>43861</v>
      </c>
      <c r="B9" s="11">
        <v>2020</v>
      </c>
      <c r="C9" s="11" t="s">
        <v>8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33551</v>
      </c>
      <c r="J9" s="13">
        <f t="shared" si="0"/>
        <v>33551</v>
      </c>
    </row>
    <row r="10" spans="1:11" x14ac:dyDescent="0.25">
      <c r="A10" s="5">
        <v>43832</v>
      </c>
      <c r="B10" s="6">
        <v>2020</v>
      </c>
      <c r="C10" s="6" t="s">
        <v>8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36644</v>
      </c>
      <c r="J10" s="8">
        <f t="shared" si="0"/>
        <v>36644</v>
      </c>
    </row>
    <row r="11" spans="1:11" x14ac:dyDescent="0.25">
      <c r="A11" s="10">
        <v>43832</v>
      </c>
      <c r="B11" s="11">
        <v>2020</v>
      </c>
      <c r="C11" s="11" t="s">
        <v>8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37679</v>
      </c>
      <c r="J11" s="13">
        <f t="shared" si="0"/>
        <v>75358</v>
      </c>
    </row>
    <row r="12" spans="1:11" x14ac:dyDescent="0.25">
      <c r="A12" s="5">
        <v>43832</v>
      </c>
      <c r="B12" s="6">
        <v>2020</v>
      </c>
      <c r="C12" s="6" t="s">
        <v>8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34559</v>
      </c>
      <c r="J12" s="8">
        <f t="shared" si="0"/>
        <v>34559</v>
      </c>
    </row>
    <row r="13" spans="1:11" x14ac:dyDescent="0.25">
      <c r="A13" s="10">
        <v>43834</v>
      </c>
      <c r="B13" s="11">
        <v>2020</v>
      </c>
      <c r="C13" s="11" t="s">
        <v>8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41663</v>
      </c>
      <c r="J13" s="13">
        <f t="shared" si="0"/>
        <v>41663</v>
      </c>
      <c r="K13" t="s">
        <v>37</v>
      </c>
    </row>
    <row r="14" spans="1:11" x14ac:dyDescent="0.25">
      <c r="A14" s="5">
        <v>43835</v>
      </c>
      <c r="B14" s="6">
        <v>2020</v>
      </c>
      <c r="C14" s="6" t="s">
        <v>8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33981</v>
      </c>
      <c r="J14" s="8">
        <f t="shared" si="0"/>
        <v>33981</v>
      </c>
    </row>
    <row r="15" spans="1:11" x14ac:dyDescent="0.25">
      <c r="A15" s="10">
        <v>43839</v>
      </c>
      <c r="B15" s="11">
        <v>2020</v>
      </c>
      <c r="C15" s="11" t="s">
        <v>8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34516</v>
      </c>
      <c r="J15" s="13">
        <f t="shared" si="0"/>
        <v>34516</v>
      </c>
    </row>
    <row r="16" spans="1:11" x14ac:dyDescent="0.25">
      <c r="A16" s="5">
        <v>43844</v>
      </c>
      <c r="B16" s="6">
        <v>2020</v>
      </c>
      <c r="C16" s="6" t="s">
        <v>8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39393</v>
      </c>
      <c r="J16" s="8">
        <f t="shared" si="0"/>
        <v>39393</v>
      </c>
    </row>
    <row r="17" spans="1:10" x14ac:dyDescent="0.25">
      <c r="A17" s="10">
        <v>43846</v>
      </c>
      <c r="B17" s="11">
        <v>2020</v>
      </c>
      <c r="C17" s="11" t="s">
        <v>8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2</v>
      </c>
      <c r="I17" s="13">
        <v>38691</v>
      </c>
      <c r="J17" s="13">
        <f t="shared" si="0"/>
        <v>77382</v>
      </c>
    </row>
    <row r="18" spans="1:10" x14ac:dyDescent="0.25">
      <c r="A18" s="5">
        <v>43849</v>
      </c>
      <c r="B18" s="6">
        <v>2020</v>
      </c>
      <c r="C18" s="6" t="s">
        <v>8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41599</v>
      </c>
      <c r="J18" s="8">
        <f t="shared" si="0"/>
        <v>41599</v>
      </c>
    </row>
    <row r="19" spans="1:10" x14ac:dyDescent="0.25">
      <c r="A19" s="10">
        <v>43851</v>
      </c>
      <c r="B19" s="11">
        <v>2020</v>
      </c>
      <c r="C19" s="11" t="s">
        <v>8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36863</v>
      </c>
      <c r="J19" s="13">
        <f t="shared" si="0"/>
        <v>36863</v>
      </c>
    </row>
    <row r="20" spans="1:10" x14ac:dyDescent="0.25">
      <c r="A20" s="5">
        <v>43853</v>
      </c>
      <c r="B20" s="6">
        <v>2020</v>
      </c>
      <c r="C20" s="6" t="s">
        <v>8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38466</v>
      </c>
      <c r="J20" s="8">
        <f t="shared" si="0"/>
        <v>38466</v>
      </c>
    </row>
    <row r="21" spans="1:10" ht="15.75" thickBot="1" x14ac:dyDescent="0.3">
      <c r="A21" s="21"/>
      <c r="B21" s="21"/>
      <c r="C21" s="21"/>
      <c r="D21" s="21"/>
      <c r="E21" s="21"/>
      <c r="F21" s="21"/>
      <c r="G21" s="21"/>
      <c r="H21" s="21"/>
      <c r="I21" s="22">
        <f>AVERAGE(I2:I20)</f>
        <v>37315.368421052633</v>
      </c>
    </row>
    <row r="22" spans="1:10" x14ac:dyDescent="0.25">
      <c r="A22" s="26"/>
      <c r="B22" s="26"/>
      <c r="C22" s="26"/>
      <c r="I22" t="s">
        <v>48</v>
      </c>
      <c r="J22" t="s">
        <v>36</v>
      </c>
    </row>
    <row r="23" spans="1:10" x14ac:dyDescent="0.25">
      <c r="A23" s="25" t="s">
        <v>35</v>
      </c>
      <c r="B23" s="25" t="s">
        <v>40</v>
      </c>
      <c r="C23" s="25" t="s">
        <v>41</v>
      </c>
      <c r="D23" s="25" t="s">
        <v>39</v>
      </c>
    </row>
    <row r="24" spans="1:10" x14ac:dyDescent="0.25">
      <c r="A24" s="20" t="s">
        <v>51</v>
      </c>
      <c r="B24" s="13">
        <v>41648</v>
      </c>
      <c r="C24" s="23" t="s">
        <v>44</v>
      </c>
      <c r="D24" t="s">
        <v>46</v>
      </c>
    </row>
    <row r="25" spans="1:10" x14ac:dyDescent="0.25">
      <c r="A25" s="24" t="s">
        <v>38</v>
      </c>
      <c r="B25" s="13">
        <v>124944</v>
      </c>
      <c r="C25" s="23" t="s">
        <v>45</v>
      </c>
      <c r="D25" t="s">
        <v>47</v>
      </c>
    </row>
    <row r="26" spans="1:10" ht="45" x14ac:dyDescent="0.25">
      <c r="A26" s="20" t="s">
        <v>30</v>
      </c>
      <c r="B26" s="13">
        <f>AVERAGE(B7:B25)</f>
        <v>12179.5</v>
      </c>
      <c r="C26" s="27" t="s">
        <v>49</v>
      </c>
      <c r="D26" s="27" t="s">
        <v>50</v>
      </c>
      <c r="E26" s="23"/>
    </row>
    <row r="27" spans="1:10" x14ac:dyDescent="0.25">
      <c r="A27" s="20" t="s">
        <v>36</v>
      </c>
      <c r="B27" s="13">
        <f>SUM(J2:J20)</f>
        <v>902531</v>
      </c>
      <c r="C27" t="s">
        <v>42</v>
      </c>
      <c r="D27" t="s">
        <v>43</v>
      </c>
    </row>
    <row r="31" spans="1:10" x14ac:dyDescent="0.25">
      <c r="E31" t="s">
        <v>52</v>
      </c>
    </row>
    <row r="35" spans="4:4" x14ac:dyDescent="0.25">
      <c r="D35" s="23"/>
    </row>
    <row r="36" spans="4:4" x14ac:dyDescent="0.25">
      <c r="D36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0976-F7CF-450C-AC7C-BECC0494B491}">
  <sheetPr codeName="Sheet1"/>
  <dimension ref="A1:M75"/>
  <sheetViews>
    <sheetView zoomScaleNormal="100" workbookViewId="0">
      <selection activeCell="J15" sqref="J15"/>
    </sheetView>
  </sheetViews>
  <sheetFormatPr defaultRowHeight="15" x14ac:dyDescent="0.25"/>
  <cols>
    <col min="1" max="1" width="14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1.7109375" customWidth="1"/>
    <col min="9" max="10" width="15.42578125" bestFit="1" customWidth="1"/>
    <col min="11" max="11" width="15.5703125" bestFit="1" customWidth="1"/>
    <col min="12" max="12" width="20.140625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3" t="s">
        <v>31</v>
      </c>
      <c r="M1" s="20" t="s">
        <v>30</v>
      </c>
    </row>
    <row r="2" spans="1:13" x14ac:dyDescent="0.25">
      <c r="A2" s="34">
        <v>43832</v>
      </c>
      <c r="B2" s="6">
        <v>2020</v>
      </c>
      <c r="C2" s="6" t="s">
        <v>8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34353</v>
      </c>
      <c r="J2" s="8">
        <f>I2*H2*1.3</f>
        <v>44658.9</v>
      </c>
      <c r="L2" t="s">
        <v>29</v>
      </c>
      <c r="M2" s="33">
        <f>AVERAGE('January 2020'!$I$2:$I$74)</f>
        <v>37219.534246575342</v>
      </c>
    </row>
    <row r="3" spans="1:13" x14ac:dyDescent="0.25">
      <c r="A3" s="10">
        <v>43832</v>
      </c>
      <c r="B3" s="11">
        <v>2020</v>
      </c>
      <c r="C3" s="11" t="s">
        <v>8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41375</v>
      </c>
      <c r="J3" s="13">
        <f t="shared" ref="J3:J66" si="0">I3*H3*1.3</f>
        <v>53787.5</v>
      </c>
      <c r="M3" s="28"/>
    </row>
    <row r="4" spans="1:13" x14ac:dyDescent="0.25">
      <c r="A4" s="5">
        <v>43834</v>
      </c>
      <c r="B4" s="6">
        <v>2020</v>
      </c>
      <c r="C4" s="6" t="s">
        <v>8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33873</v>
      </c>
      <c r="J4" s="8">
        <f t="shared" si="0"/>
        <v>44034.9</v>
      </c>
      <c r="L4" s="29"/>
      <c r="M4" s="1"/>
    </row>
    <row r="5" spans="1:13" x14ac:dyDescent="0.25">
      <c r="A5" s="10">
        <v>43842</v>
      </c>
      <c r="B5" s="11">
        <v>2020</v>
      </c>
      <c r="C5" s="11" t="s">
        <v>8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33821</v>
      </c>
      <c r="J5" s="13">
        <f t="shared" si="0"/>
        <v>43967.3</v>
      </c>
      <c r="L5" s="30"/>
    </row>
    <row r="6" spans="1:13" x14ac:dyDescent="0.25">
      <c r="A6" s="5">
        <v>43852</v>
      </c>
      <c r="B6" s="6">
        <v>2020</v>
      </c>
      <c r="C6" s="6" t="s">
        <v>8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41016</v>
      </c>
      <c r="J6" s="8">
        <f t="shared" si="0"/>
        <v>53320.800000000003</v>
      </c>
      <c r="K6" s="27"/>
    </row>
    <row r="7" spans="1:13" x14ac:dyDescent="0.25">
      <c r="A7" s="10">
        <v>43856</v>
      </c>
      <c r="B7" s="11">
        <v>2020</v>
      </c>
      <c r="C7" s="11" t="s">
        <v>8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41648</v>
      </c>
      <c r="J7" s="13">
        <f t="shared" si="0"/>
        <v>54142.400000000001</v>
      </c>
    </row>
    <row r="8" spans="1:13" x14ac:dyDescent="0.25">
      <c r="A8" s="5">
        <v>43858</v>
      </c>
      <c r="B8" s="6">
        <v>2020</v>
      </c>
      <c r="C8" s="6" t="s">
        <v>8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35301</v>
      </c>
      <c r="J8" s="8">
        <f t="shared" si="0"/>
        <v>45891.3</v>
      </c>
      <c r="L8" s="23"/>
    </row>
    <row r="9" spans="1:13" x14ac:dyDescent="0.25">
      <c r="A9" s="10">
        <v>43861</v>
      </c>
      <c r="B9" s="11">
        <v>2020</v>
      </c>
      <c r="C9" s="11" t="s">
        <v>8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33551</v>
      </c>
      <c r="J9" s="13">
        <f t="shared" si="0"/>
        <v>43616.3</v>
      </c>
      <c r="L9" s="31"/>
    </row>
    <row r="10" spans="1:13" x14ac:dyDescent="0.25">
      <c r="A10" s="10">
        <v>43832</v>
      </c>
      <c r="B10" s="11">
        <v>2020</v>
      </c>
      <c r="C10" s="11" t="s">
        <v>8</v>
      </c>
      <c r="D10" s="11" t="s">
        <v>16</v>
      </c>
      <c r="E10" s="11">
        <v>1005</v>
      </c>
      <c r="F10" s="12" t="s">
        <v>14</v>
      </c>
      <c r="G10" s="11" t="s">
        <v>15</v>
      </c>
      <c r="H10" s="11">
        <v>2</v>
      </c>
      <c r="I10" s="13">
        <v>37679</v>
      </c>
      <c r="J10" s="13">
        <f t="shared" si="0"/>
        <v>97965.400000000009</v>
      </c>
      <c r="L10" s="31"/>
    </row>
    <row r="11" spans="1:13" x14ac:dyDescent="0.25">
      <c r="A11" s="5">
        <v>43832</v>
      </c>
      <c r="B11" s="6">
        <v>2020</v>
      </c>
      <c r="C11" s="6" t="s">
        <v>8</v>
      </c>
      <c r="D11" s="6" t="s">
        <v>12</v>
      </c>
      <c r="E11" s="6">
        <v>1005</v>
      </c>
      <c r="F11" s="7" t="s">
        <v>14</v>
      </c>
      <c r="G11" s="6" t="s">
        <v>15</v>
      </c>
      <c r="H11" s="6">
        <v>1</v>
      </c>
      <c r="I11" s="8">
        <v>34559</v>
      </c>
      <c r="J11" s="8">
        <f t="shared" si="0"/>
        <v>44926.700000000004</v>
      </c>
      <c r="L11" s="31"/>
    </row>
    <row r="12" spans="1:13" x14ac:dyDescent="0.25">
      <c r="A12" s="10">
        <v>43834</v>
      </c>
      <c r="B12" s="11">
        <v>2020</v>
      </c>
      <c r="C12" s="11" t="s">
        <v>8</v>
      </c>
      <c r="D12" s="11" t="s">
        <v>9</v>
      </c>
      <c r="E12" s="11">
        <v>1005</v>
      </c>
      <c r="F12" s="12" t="s">
        <v>14</v>
      </c>
      <c r="G12" s="11" t="s">
        <v>15</v>
      </c>
      <c r="H12" s="11">
        <v>1</v>
      </c>
      <c r="I12" s="13">
        <v>41663</v>
      </c>
      <c r="J12" s="13">
        <f t="shared" si="0"/>
        <v>54161.9</v>
      </c>
      <c r="L12" s="31"/>
    </row>
    <row r="13" spans="1:13" x14ac:dyDescent="0.25">
      <c r="A13" s="5">
        <v>43835</v>
      </c>
      <c r="B13" s="6">
        <v>2020</v>
      </c>
      <c r="C13" s="6" t="s">
        <v>8</v>
      </c>
      <c r="D13" s="6" t="s">
        <v>16</v>
      </c>
      <c r="E13" s="6">
        <v>1005</v>
      </c>
      <c r="F13" s="7" t="s">
        <v>14</v>
      </c>
      <c r="G13" s="6" t="s">
        <v>15</v>
      </c>
      <c r="H13" s="6">
        <v>1</v>
      </c>
      <c r="I13" s="8">
        <v>33981</v>
      </c>
      <c r="J13" s="8">
        <f t="shared" si="0"/>
        <v>44175.3</v>
      </c>
      <c r="L13" s="31"/>
    </row>
    <row r="14" spans="1:13" x14ac:dyDescent="0.25">
      <c r="A14" s="10">
        <v>43839</v>
      </c>
      <c r="B14" s="11">
        <v>2020</v>
      </c>
      <c r="C14" s="11" t="s">
        <v>8</v>
      </c>
      <c r="D14" s="11" t="s">
        <v>12</v>
      </c>
      <c r="E14" s="11">
        <v>1005</v>
      </c>
      <c r="F14" s="12" t="s">
        <v>14</v>
      </c>
      <c r="G14" s="11" t="s">
        <v>15</v>
      </c>
      <c r="H14" s="11">
        <v>1</v>
      </c>
      <c r="I14" s="13">
        <v>34516</v>
      </c>
      <c r="J14" s="13">
        <f t="shared" si="0"/>
        <v>44870.8</v>
      </c>
      <c r="L14" s="31"/>
    </row>
    <row r="15" spans="1:13" x14ac:dyDescent="0.25">
      <c r="A15" s="5">
        <v>43844</v>
      </c>
      <c r="B15" s="6">
        <v>2020</v>
      </c>
      <c r="C15" s="6" t="s">
        <v>8</v>
      </c>
      <c r="D15" s="6" t="s">
        <v>16</v>
      </c>
      <c r="E15" s="6">
        <v>1005</v>
      </c>
      <c r="F15" s="7" t="s">
        <v>14</v>
      </c>
      <c r="G15" s="6" t="s">
        <v>15</v>
      </c>
      <c r="H15" s="6">
        <v>1</v>
      </c>
      <c r="I15" s="8">
        <v>39393</v>
      </c>
      <c r="J15" s="8">
        <f t="shared" si="0"/>
        <v>51210.9</v>
      </c>
      <c r="L15" s="31"/>
    </row>
    <row r="16" spans="1:13" x14ac:dyDescent="0.25">
      <c r="A16" s="10">
        <v>43846</v>
      </c>
      <c r="B16" s="11">
        <v>2020</v>
      </c>
      <c r="C16" s="11" t="s">
        <v>8</v>
      </c>
      <c r="D16" s="11" t="s">
        <v>13</v>
      </c>
      <c r="E16" s="11">
        <v>1005</v>
      </c>
      <c r="F16" s="12" t="s">
        <v>14</v>
      </c>
      <c r="G16" s="11" t="s">
        <v>15</v>
      </c>
      <c r="H16" s="11">
        <v>1</v>
      </c>
      <c r="I16" s="13">
        <v>38691</v>
      </c>
      <c r="J16" s="13">
        <f t="shared" si="0"/>
        <v>50298.3</v>
      </c>
      <c r="L16" s="31"/>
    </row>
    <row r="17" spans="1:12" x14ac:dyDescent="0.25">
      <c r="A17" s="5">
        <v>43849</v>
      </c>
      <c r="B17" s="6">
        <v>2020</v>
      </c>
      <c r="C17" s="6" t="s">
        <v>8</v>
      </c>
      <c r="D17" s="6" t="s">
        <v>9</v>
      </c>
      <c r="E17" s="6">
        <v>1005</v>
      </c>
      <c r="F17" s="7" t="s">
        <v>14</v>
      </c>
      <c r="G17" s="6" t="s">
        <v>15</v>
      </c>
      <c r="H17" s="6">
        <v>1</v>
      </c>
      <c r="I17" s="8">
        <v>41599</v>
      </c>
      <c r="J17" s="8">
        <f t="shared" si="0"/>
        <v>54078.700000000004</v>
      </c>
      <c r="L17" s="31"/>
    </row>
    <row r="18" spans="1:12" x14ac:dyDescent="0.25">
      <c r="A18" s="10">
        <v>43851</v>
      </c>
      <c r="B18" s="11">
        <v>2020</v>
      </c>
      <c r="C18" s="11" t="s">
        <v>8</v>
      </c>
      <c r="D18" s="11" t="s">
        <v>9</v>
      </c>
      <c r="E18" s="11">
        <v>1005</v>
      </c>
      <c r="F18" s="12" t="s">
        <v>14</v>
      </c>
      <c r="G18" s="11" t="s">
        <v>15</v>
      </c>
      <c r="H18" s="11">
        <v>1</v>
      </c>
      <c r="I18" s="13">
        <v>36863</v>
      </c>
      <c r="J18" s="13">
        <f t="shared" si="0"/>
        <v>47921.9</v>
      </c>
      <c r="L18" s="31"/>
    </row>
    <row r="19" spans="1:12" x14ac:dyDescent="0.25">
      <c r="A19" s="5">
        <v>43832</v>
      </c>
      <c r="B19" s="6">
        <v>2020</v>
      </c>
      <c r="C19" s="6" t="s">
        <v>8</v>
      </c>
      <c r="D19" s="6" t="s">
        <v>12</v>
      </c>
      <c r="E19" s="6">
        <v>1005</v>
      </c>
      <c r="F19" s="7" t="s">
        <v>14</v>
      </c>
      <c r="G19" s="6" t="s">
        <v>15</v>
      </c>
      <c r="H19" s="6">
        <v>1</v>
      </c>
      <c r="I19" s="8">
        <v>36644</v>
      </c>
      <c r="J19" s="8">
        <f t="shared" si="0"/>
        <v>47637.200000000004</v>
      </c>
      <c r="L19" s="31"/>
    </row>
    <row r="20" spans="1:12" x14ac:dyDescent="0.25">
      <c r="A20" s="5">
        <v>43853</v>
      </c>
      <c r="B20" s="6">
        <v>2020</v>
      </c>
      <c r="C20" s="6" t="s">
        <v>8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38466</v>
      </c>
      <c r="J20" s="8">
        <f t="shared" si="0"/>
        <v>50005.8</v>
      </c>
      <c r="L20" s="31"/>
    </row>
    <row r="21" spans="1:12" x14ac:dyDescent="0.25">
      <c r="A21" s="10">
        <v>43860</v>
      </c>
      <c r="B21" s="11">
        <v>2020</v>
      </c>
      <c r="C21" s="11" t="s">
        <v>8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36223</v>
      </c>
      <c r="J21" s="13">
        <f t="shared" si="0"/>
        <v>47089.9</v>
      </c>
      <c r="L21" s="31"/>
    </row>
    <row r="22" spans="1:12" x14ac:dyDescent="0.25">
      <c r="A22" s="5">
        <v>43832</v>
      </c>
      <c r="B22" s="6">
        <v>2020</v>
      </c>
      <c r="C22" s="6" t="s">
        <v>8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37499</v>
      </c>
      <c r="J22" s="8">
        <f t="shared" si="0"/>
        <v>48748.700000000004</v>
      </c>
      <c r="L22" s="31"/>
    </row>
    <row r="23" spans="1:12" x14ac:dyDescent="0.25">
      <c r="A23" s="10">
        <v>43833</v>
      </c>
      <c r="B23" s="11">
        <v>2020</v>
      </c>
      <c r="C23" s="11" t="s">
        <v>8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34866</v>
      </c>
      <c r="J23" s="13">
        <f t="shared" si="0"/>
        <v>45325.8</v>
      </c>
      <c r="L23" s="31"/>
    </row>
    <row r="24" spans="1:12" x14ac:dyDescent="0.25">
      <c r="A24" s="5">
        <v>43834</v>
      </c>
      <c r="B24" s="6">
        <v>2020</v>
      </c>
      <c r="C24" s="6" t="s">
        <v>8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33264</v>
      </c>
      <c r="J24" s="8">
        <f t="shared" si="0"/>
        <v>43243.200000000004</v>
      </c>
      <c r="L24" s="31"/>
    </row>
    <row r="25" spans="1:12" x14ac:dyDescent="0.25">
      <c r="A25" s="10">
        <v>43837</v>
      </c>
      <c r="B25" s="11">
        <v>2020</v>
      </c>
      <c r="C25" s="11" t="s">
        <v>8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37697</v>
      </c>
      <c r="J25" s="13">
        <f t="shared" si="0"/>
        <v>49006.1</v>
      </c>
      <c r="L25" s="31"/>
    </row>
    <row r="26" spans="1:12" x14ac:dyDescent="0.25">
      <c r="A26" s="5">
        <v>43842</v>
      </c>
      <c r="B26" s="6">
        <v>2020</v>
      </c>
      <c r="C26" s="6" t="s">
        <v>8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34895</v>
      </c>
      <c r="J26" s="8">
        <f t="shared" si="0"/>
        <v>45363.5</v>
      </c>
      <c r="L26" s="31"/>
    </row>
    <row r="27" spans="1:12" x14ac:dyDescent="0.25">
      <c r="A27" s="10">
        <v>43854</v>
      </c>
      <c r="B27" s="11">
        <v>2020</v>
      </c>
      <c r="C27" s="11" t="s">
        <v>8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40509</v>
      </c>
      <c r="J27" s="13">
        <f t="shared" si="0"/>
        <v>105323.40000000001</v>
      </c>
      <c r="L27" s="31"/>
    </row>
    <row r="28" spans="1:12" x14ac:dyDescent="0.25">
      <c r="A28" s="5">
        <v>43854</v>
      </c>
      <c r="B28" s="6">
        <v>2020</v>
      </c>
      <c r="C28" s="6" t="s">
        <v>8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37803</v>
      </c>
      <c r="J28" s="8">
        <f t="shared" si="0"/>
        <v>49143.9</v>
      </c>
    </row>
    <row r="29" spans="1:12" x14ac:dyDescent="0.25">
      <c r="A29" s="10">
        <v>43857</v>
      </c>
      <c r="B29" s="11">
        <v>2020</v>
      </c>
      <c r="C29" s="11" t="s">
        <v>8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38638</v>
      </c>
      <c r="J29" s="13">
        <f t="shared" si="0"/>
        <v>50229.4</v>
      </c>
    </row>
    <row r="30" spans="1:12" x14ac:dyDescent="0.25">
      <c r="A30" s="5">
        <v>43859</v>
      </c>
      <c r="B30" s="6">
        <v>2020</v>
      </c>
      <c r="C30" s="6" t="s">
        <v>8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34862</v>
      </c>
      <c r="J30" s="8">
        <f t="shared" si="0"/>
        <v>45320.6</v>
      </c>
    </row>
    <row r="31" spans="1:12" x14ac:dyDescent="0.25">
      <c r="A31" s="10">
        <v>43834</v>
      </c>
      <c r="B31" s="11">
        <v>2020</v>
      </c>
      <c r="C31" s="11" t="s">
        <v>8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38468</v>
      </c>
      <c r="J31" s="13">
        <f t="shared" si="0"/>
        <v>50008.4</v>
      </c>
    </row>
    <row r="32" spans="1:12" x14ac:dyDescent="0.25">
      <c r="A32" s="5">
        <v>43836</v>
      </c>
      <c r="B32" s="6">
        <v>2020</v>
      </c>
      <c r="C32" s="6" t="s">
        <v>8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36529</v>
      </c>
      <c r="J32" s="8">
        <f t="shared" si="0"/>
        <v>47487.700000000004</v>
      </c>
    </row>
    <row r="33" spans="1:10" x14ac:dyDescent="0.25">
      <c r="A33" s="10">
        <v>43838</v>
      </c>
      <c r="B33" s="11">
        <v>2020</v>
      </c>
      <c r="C33" s="11" t="s">
        <v>8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33235</v>
      </c>
      <c r="J33" s="13">
        <f t="shared" si="0"/>
        <v>43205.5</v>
      </c>
    </row>
    <row r="34" spans="1:10" x14ac:dyDescent="0.25">
      <c r="A34" s="5">
        <v>43840</v>
      </c>
      <c r="B34" s="6">
        <v>2020</v>
      </c>
      <c r="C34" s="6" t="s">
        <v>8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37760</v>
      </c>
      <c r="J34" s="8">
        <f t="shared" si="0"/>
        <v>49088</v>
      </c>
    </row>
    <row r="35" spans="1:10" x14ac:dyDescent="0.25">
      <c r="A35" s="10">
        <v>43842</v>
      </c>
      <c r="B35" s="11">
        <v>2020</v>
      </c>
      <c r="C35" s="11" t="s">
        <v>8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40882</v>
      </c>
      <c r="J35" s="13">
        <f t="shared" si="0"/>
        <v>53146.6</v>
      </c>
    </row>
    <row r="36" spans="1:10" x14ac:dyDescent="0.25">
      <c r="A36" s="5">
        <v>43843</v>
      </c>
      <c r="B36" s="6">
        <v>2020</v>
      </c>
      <c r="C36" s="6" t="s">
        <v>8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33554</v>
      </c>
      <c r="J36" s="8">
        <f t="shared" si="0"/>
        <v>43620.200000000004</v>
      </c>
    </row>
    <row r="37" spans="1:10" x14ac:dyDescent="0.25">
      <c r="A37" s="10">
        <v>43844</v>
      </c>
      <c r="B37" s="11">
        <v>2020</v>
      </c>
      <c r="C37" s="11" t="s">
        <v>8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41203</v>
      </c>
      <c r="J37" s="13">
        <f t="shared" si="0"/>
        <v>53563.9</v>
      </c>
    </row>
    <row r="38" spans="1:10" x14ac:dyDescent="0.25">
      <c r="A38" s="5">
        <v>43854</v>
      </c>
      <c r="B38" s="6">
        <v>2020</v>
      </c>
      <c r="C38" s="6" t="s">
        <v>8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38143</v>
      </c>
      <c r="J38" s="8">
        <f t="shared" si="0"/>
        <v>49585.9</v>
      </c>
    </row>
    <row r="39" spans="1:10" x14ac:dyDescent="0.25">
      <c r="A39" s="10">
        <v>43859</v>
      </c>
      <c r="B39" s="11">
        <v>2020</v>
      </c>
      <c r="C39" s="11" t="s">
        <v>8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37057</v>
      </c>
      <c r="J39" s="13">
        <f t="shared" si="0"/>
        <v>48174.1</v>
      </c>
    </row>
    <row r="40" spans="1:10" x14ac:dyDescent="0.25">
      <c r="A40" s="5">
        <v>43832</v>
      </c>
      <c r="B40" s="6">
        <v>2020</v>
      </c>
      <c r="C40" s="6" t="s">
        <v>8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41275</v>
      </c>
      <c r="J40" s="8">
        <f t="shared" si="0"/>
        <v>53657.5</v>
      </c>
    </row>
    <row r="41" spans="1:10" x14ac:dyDescent="0.25">
      <c r="A41" s="10">
        <v>43832</v>
      </c>
      <c r="B41" s="11">
        <v>2020</v>
      </c>
      <c r="C41" s="11" t="s">
        <v>8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40794</v>
      </c>
      <c r="J41" s="13">
        <f t="shared" si="0"/>
        <v>53032.200000000004</v>
      </c>
    </row>
    <row r="42" spans="1:10" x14ac:dyDescent="0.25">
      <c r="A42" s="5">
        <v>43836</v>
      </c>
      <c r="B42" s="6">
        <v>2020</v>
      </c>
      <c r="C42" s="6" t="s">
        <v>8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40752</v>
      </c>
      <c r="J42" s="8">
        <f t="shared" si="0"/>
        <v>52977.599999999999</v>
      </c>
    </row>
    <row r="43" spans="1:10" x14ac:dyDescent="0.25">
      <c r="A43" s="10">
        <v>43844</v>
      </c>
      <c r="B43" s="11">
        <v>2020</v>
      </c>
      <c r="C43" s="11" t="s">
        <v>8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38638</v>
      </c>
      <c r="J43" s="13">
        <f t="shared" si="0"/>
        <v>50229.4</v>
      </c>
    </row>
    <row r="44" spans="1:10" x14ac:dyDescent="0.25">
      <c r="A44" s="5">
        <v>43851</v>
      </c>
      <c r="B44" s="6">
        <v>2020</v>
      </c>
      <c r="C44" s="6" t="s">
        <v>8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33091</v>
      </c>
      <c r="J44" s="8">
        <f t="shared" si="0"/>
        <v>43018.3</v>
      </c>
    </row>
    <row r="45" spans="1:10" x14ac:dyDescent="0.25">
      <c r="A45" s="10">
        <v>43851</v>
      </c>
      <c r="B45" s="11">
        <v>2020</v>
      </c>
      <c r="C45" s="11" t="s">
        <v>8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37024</v>
      </c>
      <c r="J45" s="13">
        <f t="shared" si="0"/>
        <v>48131.200000000004</v>
      </c>
    </row>
    <row r="46" spans="1:10" x14ac:dyDescent="0.25">
      <c r="A46" s="5">
        <v>43853</v>
      </c>
      <c r="B46" s="6">
        <v>2020</v>
      </c>
      <c r="C46" s="6" t="s">
        <v>8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37207</v>
      </c>
      <c r="J46" s="8">
        <f t="shared" si="0"/>
        <v>48369.1</v>
      </c>
    </row>
    <row r="47" spans="1:10" x14ac:dyDescent="0.25">
      <c r="A47" s="10">
        <v>43831</v>
      </c>
      <c r="B47" s="11">
        <v>2020</v>
      </c>
      <c r="C47" s="11" t="s">
        <v>8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34512</v>
      </c>
      <c r="J47" s="13">
        <f t="shared" si="0"/>
        <v>44865.599999999999</v>
      </c>
    </row>
    <row r="48" spans="1:10" x14ac:dyDescent="0.25">
      <c r="A48" s="5">
        <v>43832</v>
      </c>
      <c r="B48" s="6">
        <v>2020</v>
      </c>
      <c r="C48" s="6" t="s">
        <v>8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33637</v>
      </c>
      <c r="J48" s="8">
        <f t="shared" si="0"/>
        <v>43728.1</v>
      </c>
    </row>
    <row r="49" spans="1:10" x14ac:dyDescent="0.25">
      <c r="A49" s="10">
        <v>43842</v>
      </c>
      <c r="B49" s="11">
        <v>2020</v>
      </c>
      <c r="C49" s="11" t="s">
        <v>8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39424</v>
      </c>
      <c r="J49" s="13">
        <f t="shared" si="0"/>
        <v>51251.200000000004</v>
      </c>
    </row>
    <row r="50" spans="1:10" x14ac:dyDescent="0.25">
      <c r="A50" s="5">
        <v>43842</v>
      </c>
      <c r="B50" s="6">
        <v>2020</v>
      </c>
      <c r="C50" s="6" t="s">
        <v>8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34626</v>
      </c>
      <c r="J50" s="8">
        <f t="shared" si="0"/>
        <v>45013.8</v>
      </c>
    </row>
    <row r="51" spans="1:10" x14ac:dyDescent="0.25">
      <c r="A51" s="10">
        <v>43842</v>
      </c>
      <c r="B51" s="11">
        <v>2020</v>
      </c>
      <c r="C51" s="11" t="s">
        <v>8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37251</v>
      </c>
      <c r="J51" s="13">
        <f t="shared" si="0"/>
        <v>48426.3</v>
      </c>
    </row>
    <row r="52" spans="1:10" x14ac:dyDescent="0.25">
      <c r="A52" s="5">
        <v>43846</v>
      </c>
      <c r="B52" s="6">
        <v>2020</v>
      </c>
      <c r="C52" s="6" t="s">
        <v>8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41698</v>
      </c>
      <c r="J52" s="8">
        <f t="shared" si="0"/>
        <v>54207.4</v>
      </c>
    </row>
    <row r="53" spans="1:10" x14ac:dyDescent="0.25">
      <c r="A53" s="10">
        <v>43853</v>
      </c>
      <c r="B53" s="11">
        <v>2020</v>
      </c>
      <c r="C53" s="11" t="s">
        <v>8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35378</v>
      </c>
      <c r="J53" s="13">
        <f t="shared" si="0"/>
        <v>45991.4</v>
      </c>
    </row>
    <row r="54" spans="1:10" x14ac:dyDescent="0.25">
      <c r="A54" s="5">
        <v>43858</v>
      </c>
      <c r="B54" s="6">
        <v>2020</v>
      </c>
      <c r="C54" s="6" t="s">
        <v>8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36345</v>
      </c>
      <c r="J54" s="8">
        <f t="shared" si="0"/>
        <v>47248.5</v>
      </c>
    </row>
    <row r="55" spans="1:10" x14ac:dyDescent="0.25">
      <c r="A55" s="10">
        <v>43859</v>
      </c>
      <c r="B55" s="11">
        <v>2020</v>
      </c>
      <c r="C55" s="11" t="s">
        <v>8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37021</v>
      </c>
      <c r="J55" s="13">
        <f t="shared" si="0"/>
        <v>48127.3</v>
      </c>
    </row>
    <row r="56" spans="1:10" x14ac:dyDescent="0.25">
      <c r="A56" s="5">
        <v>43842</v>
      </c>
      <c r="B56" s="6">
        <v>2020</v>
      </c>
      <c r="C56" s="6" t="s">
        <v>8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36802</v>
      </c>
      <c r="J56" s="8">
        <f t="shared" si="0"/>
        <v>47842.6</v>
      </c>
    </row>
    <row r="57" spans="1:10" x14ac:dyDescent="0.25">
      <c r="A57" s="10">
        <v>43842</v>
      </c>
      <c r="B57" s="11">
        <v>2020</v>
      </c>
      <c r="C57" s="11" t="s">
        <v>8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34869</v>
      </c>
      <c r="J57" s="13">
        <f t="shared" si="0"/>
        <v>45329.700000000004</v>
      </c>
    </row>
    <row r="58" spans="1:10" x14ac:dyDescent="0.25">
      <c r="A58" s="5">
        <v>43842</v>
      </c>
      <c r="B58" s="6">
        <v>2020</v>
      </c>
      <c r="C58" s="6" t="s">
        <v>8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33080</v>
      </c>
      <c r="J58" s="8">
        <f t="shared" si="0"/>
        <v>43004</v>
      </c>
    </row>
    <row r="59" spans="1:10" x14ac:dyDescent="0.25">
      <c r="A59" s="10">
        <v>43843</v>
      </c>
      <c r="B59" s="11">
        <v>2020</v>
      </c>
      <c r="C59" s="11" t="s">
        <v>8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35556</v>
      </c>
      <c r="J59" s="13">
        <f t="shared" si="0"/>
        <v>46222.8</v>
      </c>
    </row>
    <row r="60" spans="1:10" x14ac:dyDescent="0.25">
      <c r="A60" s="5">
        <v>43846</v>
      </c>
      <c r="B60" s="6">
        <v>2020</v>
      </c>
      <c r="C60" s="6" t="s">
        <v>8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37551</v>
      </c>
      <c r="J60" s="8">
        <f t="shared" si="0"/>
        <v>48816.3</v>
      </c>
    </row>
    <row r="61" spans="1:10" x14ac:dyDescent="0.25">
      <c r="A61" s="10">
        <v>43831</v>
      </c>
      <c r="B61" s="11">
        <v>2020</v>
      </c>
      <c r="C61" s="11" t="s">
        <v>8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38467</v>
      </c>
      <c r="J61" s="13">
        <f t="shared" si="0"/>
        <v>50007.1</v>
      </c>
    </row>
    <row r="62" spans="1:10" x14ac:dyDescent="0.25">
      <c r="A62" s="5">
        <v>43832</v>
      </c>
      <c r="B62" s="6">
        <v>2020</v>
      </c>
      <c r="C62" s="6" t="s">
        <v>8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34208</v>
      </c>
      <c r="J62" s="8">
        <f t="shared" si="0"/>
        <v>44470.400000000001</v>
      </c>
    </row>
    <row r="63" spans="1:10" x14ac:dyDescent="0.25">
      <c r="A63" s="10">
        <v>43835</v>
      </c>
      <c r="B63" s="11">
        <v>2020</v>
      </c>
      <c r="C63" s="11" t="s">
        <v>8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36235</v>
      </c>
      <c r="J63" s="13">
        <f t="shared" si="0"/>
        <v>47105.5</v>
      </c>
    </row>
    <row r="64" spans="1:10" x14ac:dyDescent="0.25">
      <c r="A64" s="5">
        <v>43844</v>
      </c>
      <c r="B64" s="6">
        <v>2020</v>
      </c>
      <c r="C64" s="6" t="s">
        <v>8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37904</v>
      </c>
      <c r="J64" s="8">
        <f t="shared" si="0"/>
        <v>49275.200000000004</v>
      </c>
    </row>
    <row r="65" spans="1:10" x14ac:dyDescent="0.25">
      <c r="A65" s="10">
        <v>43855</v>
      </c>
      <c r="B65" s="11">
        <v>2020</v>
      </c>
      <c r="C65" s="11" t="s">
        <v>8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39677</v>
      </c>
      <c r="J65" s="13">
        <f t="shared" si="0"/>
        <v>51580.1</v>
      </c>
    </row>
    <row r="66" spans="1:10" x14ac:dyDescent="0.25">
      <c r="A66" s="5">
        <v>43832</v>
      </c>
      <c r="B66" s="6">
        <v>2020</v>
      </c>
      <c r="C66" s="6" t="s">
        <v>8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33799</v>
      </c>
      <c r="J66" s="8">
        <f t="shared" si="0"/>
        <v>43938.700000000004</v>
      </c>
    </row>
    <row r="67" spans="1:10" x14ac:dyDescent="0.25">
      <c r="A67" s="10">
        <v>43842</v>
      </c>
      <c r="B67" s="11">
        <v>2020</v>
      </c>
      <c r="C67" s="11" t="s">
        <v>8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41993</v>
      </c>
      <c r="J67" s="13">
        <f t="shared" ref="J67:J74" si="1">I67*H67*1.3</f>
        <v>54590.9</v>
      </c>
    </row>
    <row r="68" spans="1:10" x14ac:dyDescent="0.25">
      <c r="A68" s="5">
        <v>43847</v>
      </c>
      <c r="B68" s="6">
        <v>2020</v>
      </c>
      <c r="C68" s="6" t="s">
        <v>8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36746</v>
      </c>
      <c r="J68" s="8">
        <f t="shared" si="1"/>
        <v>47769.8</v>
      </c>
    </row>
    <row r="69" spans="1:10" x14ac:dyDescent="0.25">
      <c r="A69" s="10">
        <v>43831</v>
      </c>
      <c r="B69" s="11">
        <v>2020</v>
      </c>
      <c r="C69" s="11" t="s">
        <v>8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35803</v>
      </c>
      <c r="J69" s="13">
        <f t="shared" si="1"/>
        <v>46543.9</v>
      </c>
    </row>
    <row r="70" spans="1:10" x14ac:dyDescent="0.25">
      <c r="A70" s="5">
        <v>43848</v>
      </c>
      <c r="B70" s="6">
        <v>2020</v>
      </c>
      <c r="C70" s="6" t="s">
        <v>8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39511</v>
      </c>
      <c r="J70" s="8">
        <f t="shared" si="1"/>
        <v>51364.3</v>
      </c>
    </row>
    <row r="71" spans="1:10" x14ac:dyDescent="0.25">
      <c r="A71" s="10">
        <v>43850</v>
      </c>
      <c r="B71" s="11">
        <v>2020</v>
      </c>
      <c r="C71" s="11" t="s">
        <v>8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33925</v>
      </c>
      <c r="J71" s="13">
        <f t="shared" si="1"/>
        <v>44102.5</v>
      </c>
    </row>
    <row r="72" spans="1:10" x14ac:dyDescent="0.25">
      <c r="A72" s="5">
        <v>43841</v>
      </c>
      <c r="B72" s="6">
        <v>2020</v>
      </c>
      <c r="C72" s="6" t="s">
        <v>8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40626</v>
      </c>
      <c r="J72" s="8">
        <f t="shared" si="1"/>
        <v>52813.8</v>
      </c>
    </row>
    <row r="73" spans="1:10" x14ac:dyDescent="0.25">
      <c r="A73" s="10">
        <v>43842</v>
      </c>
      <c r="B73" s="11">
        <v>2020</v>
      </c>
      <c r="C73" s="11" t="s">
        <v>8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37610</v>
      </c>
      <c r="J73" s="13">
        <f t="shared" si="1"/>
        <v>48893</v>
      </c>
    </row>
    <row r="74" spans="1:10" x14ac:dyDescent="0.25">
      <c r="A74" s="5">
        <v>43845</v>
      </c>
      <c r="B74" s="6">
        <v>2020</v>
      </c>
      <c r="C74" s="6" t="s">
        <v>8</v>
      </c>
      <c r="D74" s="6" t="s">
        <v>16</v>
      </c>
      <c r="E74" s="6">
        <v>1011</v>
      </c>
      <c r="F74" s="7" t="s">
        <v>27</v>
      </c>
      <c r="G74" s="6" t="s">
        <v>25</v>
      </c>
      <c r="H74" s="6">
        <v>1</v>
      </c>
      <c r="I74" s="8">
        <v>41912</v>
      </c>
      <c r="J74" s="8">
        <f t="shared" si="1"/>
        <v>54485.599999999999</v>
      </c>
    </row>
    <row r="75" spans="1:10" ht="15.75" thickBot="1" x14ac:dyDescent="0.3">
      <c r="A75" s="21" t="s">
        <v>36</v>
      </c>
      <c r="B75" s="21"/>
      <c r="C75" s="21"/>
      <c r="D75" s="21"/>
      <c r="E75" s="21"/>
      <c r="F75" s="21"/>
      <c r="G75" s="21"/>
      <c r="H75" s="21"/>
      <c r="I75" s="22"/>
      <c r="J75" s="22">
        <f t="shared" ref="J75" si="2">I75*H75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3DF92-F891-45D5-B80D-F92A40EEE666}">
  <sheetPr codeName="Sheet2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43863</v>
      </c>
      <c r="B2" s="6">
        <v>2020</v>
      </c>
      <c r="C2" s="6" t="s">
        <v>32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30027</v>
      </c>
      <c r="J2" s="9">
        <v>30027</v>
      </c>
      <c r="L2" t="s">
        <v>29</v>
      </c>
      <c r="M2" s="1">
        <f>AVERAGE('February 2020'!$I$2:$I$74)</f>
        <v>34776.246575342462</v>
      </c>
    </row>
    <row r="3" spans="1:13" x14ac:dyDescent="0.25">
      <c r="A3" s="10">
        <v>43863</v>
      </c>
      <c r="B3" s="11">
        <v>2020</v>
      </c>
      <c r="C3" s="11" t="s">
        <v>32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38917</v>
      </c>
      <c r="J3" s="14">
        <v>38917</v>
      </c>
    </row>
    <row r="4" spans="1:13" x14ac:dyDescent="0.25">
      <c r="A4" s="5">
        <v>43865</v>
      </c>
      <c r="B4" s="6">
        <v>2020</v>
      </c>
      <c r="C4" s="6" t="s">
        <v>32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37653</v>
      </c>
      <c r="J4" s="9">
        <v>37653</v>
      </c>
    </row>
    <row r="5" spans="1:13" x14ac:dyDescent="0.25">
      <c r="A5" s="10">
        <v>43873</v>
      </c>
      <c r="B5" s="11">
        <v>2020</v>
      </c>
      <c r="C5" s="11" t="s">
        <v>32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39360</v>
      </c>
      <c r="J5" s="14">
        <v>39360</v>
      </c>
    </row>
    <row r="6" spans="1:13" x14ac:dyDescent="0.25">
      <c r="A6" s="5">
        <v>43883</v>
      </c>
      <c r="B6" s="6">
        <v>2020</v>
      </c>
      <c r="C6" s="6" t="s">
        <v>32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41353</v>
      </c>
      <c r="J6" s="9">
        <v>41353</v>
      </c>
    </row>
    <row r="7" spans="1:13" x14ac:dyDescent="0.25">
      <c r="A7" s="10">
        <v>43887</v>
      </c>
      <c r="B7" s="11">
        <v>2020</v>
      </c>
      <c r="C7" s="11" t="s">
        <v>32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30900</v>
      </c>
      <c r="J7" s="14">
        <v>30900</v>
      </c>
    </row>
    <row r="8" spans="1:13" x14ac:dyDescent="0.25">
      <c r="A8" s="5">
        <v>43889</v>
      </c>
      <c r="B8" s="6">
        <v>2020</v>
      </c>
      <c r="C8" s="6" t="s">
        <v>32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40227</v>
      </c>
      <c r="J8" s="9">
        <v>40227</v>
      </c>
    </row>
    <row r="9" spans="1:13" x14ac:dyDescent="0.25">
      <c r="A9" s="10">
        <v>43889</v>
      </c>
      <c r="B9" s="11">
        <v>2020</v>
      </c>
      <c r="C9" s="11" t="s">
        <v>32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35371</v>
      </c>
      <c r="J9" s="14">
        <v>35371</v>
      </c>
    </row>
    <row r="10" spans="1:13" x14ac:dyDescent="0.25">
      <c r="A10" s="5">
        <v>43863</v>
      </c>
      <c r="B10" s="6">
        <v>2020</v>
      </c>
      <c r="C10" s="6" t="s">
        <v>32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36015</v>
      </c>
      <c r="J10" s="9">
        <v>36015</v>
      </c>
    </row>
    <row r="11" spans="1:13" x14ac:dyDescent="0.25">
      <c r="A11" s="10">
        <v>43863</v>
      </c>
      <c r="B11" s="11">
        <v>2020</v>
      </c>
      <c r="C11" s="11" t="s">
        <v>32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38766</v>
      </c>
      <c r="J11" s="14">
        <v>77532</v>
      </c>
    </row>
    <row r="12" spans="1:13" x14ac:dyDescent="0.25">
      <c r="A12" s="5">
        <v>43863</v>
      </c>
      <c r="B12" s="6">
        <v>2020</v>
      </c>
      <c r="C12" s="6" t="s">
        <v>32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34091</v>
      </c>
      <c r="J12" s="9">
        <v>34091</v>
      </c>
    </row>
    <row r="13" spans="1:13" x14ac:dyDescent="0.25">
      <c r="A13" s="10">
        <v>43865</v>
      </c>
      <c r="B13" s="11">
        <v>2020</v>
      </c>
      <c r="C13" s="11" t="s">
        <v>32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28439</v>
      </c>
      <c r="J13" s="14">
        <v>28439</v>
      </c>
    </row>
    <row r="14" spans="1:13" x14ac:dyDescent="0.25">
      <c r="A14" s="5">
        <v>43866</v>
      </c>
      <c r="B14" s="6">
        <v>2020</v>
      </c>
      <c r="C14" s="6" t="s">
        <v>32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38151</v>
      </c>
      <c r="J14" s="9">
        <v>38151</v>
      </c>
    </row>
    <row r="15" spans="1:13" x14ac:dyDescent="0.25">
      <c r="A15" s="10">
        <v>43870</v>
      </c>
      <c r="B15" s="11">
        <v>2020</v>
      </c>
      <c r="C15" s="11" t="s">
        <v>32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34914</v>
      </c>
      <c r="J15" s="14">
        <v>34914</v>
      </c>
    </row>
    <row r="16" spans="1:13" x14ac:dyDescent="0.25">
      <c r="A16" s="5">
        <v>43875</v>
      </c>
      <c r="B16" s="6">
        <v>2020</v>
      </c>
      <c r="C16" s="6" t="s">
        <v>32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35705</v>
      </c>
      <c r="J16" s="9">
        <v>35705</v>
      </c>
    </row>
    <row r="17" spans="1:10" x14ac:dyDescent="0.25">
      <c r="A17" s="10">
        <v>43877</v>
      </c>
      <c r="B17" s="11">
        <v>2020</v>
      </c>
      <c r="C17" s="11" t="s">
        <v>32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29475</v>
      </c>
      <c r="J17" s="14">
        <v>29475</v>
      </c>
    </row>
    <row r="18" spans="1:10" x14ac:dyDescent="0.25">
      <c r="A18" s="5">
        <v>43880</v>
      </c>
      <c r="B18" s="6">
        <v>2020</v>
      </c>
      <c r="C18" s="6" t="s">
        <v>32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34733</v>
      </c>
      <c r="J18" s="9">
        <v>34733</v>
      </c>
    </row>
    <row r="19" spans="1:10" x14ac:dyDescent="0.25">
      <c r="A19" s="10">
        <v>43882</v>
      </c>
      <c r="B19" s="11">
        <v>2020</v>
      </c>
      <c r="C19" s="11" t="s">
        <v>32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33925</v>
      </c>
      <c r="J19" s="14">
        <v>33925</v>
      </c>
    </row>
    <row r="20" spans="1:10" x14ac:dyDescent="0.25">
      <c r="A20" s="5">
        <v>43884</v>
      </c>
      <c r="B20" s="6">
        <v>2020</v>
      </c>
      <c r="C20" s="6" t="s">
        <v>32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36434</v>
      </c>
      <c r="J20" s="9">
        <v>36434</v>
      </c>
    </row>
    <row r="21" spans="1:10" x14ac:dyDescent="0.25">
      <c r="A21" s="10">
        <v>43889</v>
      </c>
      <c r="B21" s="11">
        <v>2020</v>
      </c>
      <c r="C21" s="11" t="s">
        <v>32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31443</v>
      </c>
      <c r="J21" s="14">
        <v>31443</v>
      </c>
    </row>
    <row r="22" spans="1:10" x14ac:dyDescent="0.25">
      <c r="A22" s="5">
        <v>43863</v>
      </c>
      <c r="B22" s="6">
        <v>2020</v>
      </c>
      <c r="C22" s="6" t="s">
        <v>32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35519</v>
      </c>
      <c r="J22" s="9">
        <v>35519</v>
      </c>
    </row>
    <row r="23" spans="1:10" x14ac:dyDescent="0.25">
      <c r="A23" s="10">
        <v>43864</v>
      </c>
      <c r="B23" s="11">
        <v>2020</v>
      </c>
      <c r="C23" s="11" t="s">
        <v>32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31038</v>
      </c>
      <c r="J23" s="14">
        <v>31038</v>
      </c>
    </row>
    <row r="24" spans="1:10" x14ac:dyDescent="0.25">
      <c r="A24" s="5">
        <v>43865</v>
      </c>
      <c r="B24" s="6">
        <v>2020</v>
      </c>
      <c r="C24" s="6" t="s">
        <v>32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30297</v>
      </c>
      <c r="J24" s="9">
        <v>30297</v>
      </c>
    </row>
    <row r="25" spans="1:10" x14ac:dyDescent="0.25">
      <c r="A25" s="10">
        <v>43868</v>
      </c>
      <c r="B25" s="11">
        <v>2020</v>
      </c>
      <c r="C25" s="11" t="s">
        <v>32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28079</v>
      </c>
      <c r="J25" s="14">
        <v>28079</v>
      </c>
    </row>
    <row r="26" spans="1:10" x14ac:dyDescent="0.25">
      <c r="A26" s="5">
        <v>43873</v>
      </c>
      <c r="B26" s="6">
        <v>2020</v>
      </c>
      <c r="C26" s="6" t="s">
        <v>32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40132</v>
      </c>
      <c r="J26" s="9">
        <v>40132</v>
      </c>
    </row>
    <row r="27" spans="1:10" x14ac:dyDescent="0.25">
      <c r="A27" s="10">
        <v>43885</v>
      </c>
      <c r="B27" s="11">
        <v>2020</v>
      </c>
      <c r="C27" s="11" t="s">
        <v>32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35868</v>
      </c>
      <c r="J27" s="14">
        <v>71736</v>
      </c>
    </row>
    <row r="28" spans="1:10" x14ac:dyDescent="0.25">
      <c r="A28" s="5">
        <v>43885</v>
      </c>
      <c r="B28" s="6">
        <v>2020</v>
      </c>
      <c r="C28" s="6" t="s">
        <v>32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32904</v>
      </c>
      <c r="J28" s="9">
        <v>32904</v>
      </c>
    </row>
    <row r="29" spans="1:10" x14ac:dyDescent="0.25">
      <c r="A29" s="10">
        <v>43888</v>
      </c>
      <c r="B29" s="11">
        <v>2020</v>
      </c>
      <c r="C29" s="11" t="s">
        <v>32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30487</v>
      </c>
      <c r="J29" s="14">
        <v>30487</v>
      </c>
    </row>
    <row r="30" spans="1:10" x14ac:dyDescent="0.25">
      <c r="A30" s="5">
        <v>43890</v>
      </c>
      <c r="B30" s="6">
        <v>2020</v>
      </c>
      <c r="C30" s="6" t="s">
        <v>32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31820</v>
      </c>
      <c r="J30" s="9">
        <v>31820</v>
      </c>
    </row>
    <row r="31" spans="1:10" x14ac:dyDescent="0.25">
      <c r="A31" s="10">
        <v>43865</v>
      </c>
      <c r="B31" s="11">
        <v>2020</v>
      </c>
      <c r="C31" s="11" t="s">
        <v>32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37462</v>
      </c>
      <c r="J31" s="14">
        <v>37462</v>
      </c>
    </row>
    <row r="32" spans="1:10" x14ac:dyDescent="0.25">
      <c r="A32" s="5">
        <v>43867</v>
      </c>
      <c r="B32" s="6">
        <v>2020</v>
      </c>
      <c r="C32" s="6" t="s">
        <v>32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41072</v>
      </c>
      <c r="J32" s="9">
        <v>41072</v>
      </c>
    </row>
    <row r="33" spans="1:10" x14ac:dyDescent="0.25">
      <c r="A33" s="10">
        <v>43869</v>
      </c>
      <c r="B33" s="11">
        <v>2020</v>
      </c>
      <c r="C33" s="11" t="s">
        <v>32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37048</v>
      </c>
      <c r="J33" s="14">
        <v>37048</v>
      </c>
    </row>
    <row r="34" spans="1:10" x14ac:dyDescent="0.25">
      <c r="A34" s="5">
        <v>43871</v>
      </c>
      <c r="B34" s="6">
        <v>2020</v>
      </c>
      <c r="C34" s="6" t="s">
        <v>32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34145</v>
      </c>
      <c r="J34" s="9">
        <v>34145</v>
      </c>
    </row>
    <row r="35" spans="1:10" x14ac:dyDescent="0.25">
      <c r="A35" s="10">
        <v>43873</v>
      </c>
      <c r="B35" s="11">
        <v>2020</v>
      </c>
      <c r="C35" s="11" t="s">
        <v>32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33948</v>
      </c>
      <c r="J35" s="14">
        <v>33948</v>
      </c>
    </row>
    <row r="36" spans="1:10" x14ac:dyDescent="0.25">
      <c r="A36" s="5">
        <v>43874</v>
      </c>
      <c r="B36" s="6">
        <v>2020</v>
      </c>
      <c r="C36" s="6" t="s">
        <v>32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39082</v>
      </c>
      <c r="J36" s="9">
        <v>39082</v>
      </c>
    </row>
    <row r="37" spans="1:10" x14ac:dyDescent="0.25">
      <c r="A37" s="10">
        <v>43875</v>
      </c>
      <c r="B37" s="11">
        <v>2020</v>
      </c>
      <c r="C37" s="11" t="s">
        <v>32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39256</v>
      </c>
      <c r="J37" s="14">
        <v>39256</v>
      </c>
    </row>
    <row r="38" spans="1:10" x14ac:dyDescent="0.25">
      <c r="A38" s="5">
        <v>43885</v>
      </c>
      <c r="B38" s="6">
        <v>2020</v>
      </c>
      <c r="C38" s="6" t="s">
        <v>32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36654</v>
      </c>
      <c r="J38" s="9">
        <v>36654</v>
      </c>
    </row>
    <row r="39" spans="1:10" x14ac:dyDescent="0.25">
      <c r="A39" s="10">
        <v>43890</v>
      </c>
      <c r="B39" s="11">
        <v>2020</v>
      </c>
      <c r="C39" s="11" t="s">
        <v>32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28202</v>
      </c>
      <c r="J39" s="14">
        <v>28202</v>
      </c>
    </row>
    <row r="40" spans="1:10" x14ac:dyDescent="0.25">
      <c r="A40" s="5">
        <v>43863</v>
      </c>
      <c r="B40" s="6">
        <v>2020</v>
      </c>
      <c r="C40" s="6" t="s">
        <v>32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39896</v>
      </c>
      <c r="J40" s="9">
        <v>39896</v>
      </c>
    </row>
    <row r="41" spans="1:10" x14ac:dyDescent="0.25">
      <c r="A41" s="10">
        <v>43863</v>
      </c>
      <c r="B41" s="11">
        <v>2020</v>
      </c>
      <c r="C41" s="11" t="s">
        <v>32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28528</v>
      </c>
      <c r="J41" s="14">
        <v>28528</v>
      </c>
    </row>
    <row r="42" spans="1:10" x14ac:dyDescent="0.25">
      <c r="A42" s="5">
        <v>43867</v>
      </c>
      <c r="B42" s="6">
        <v>2020</v>
      </c>
      <c r="C42" s="6" t="s">
        <v>32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39412</v>
      </c>
      <c r="J42" s="9">
        <v>39412</v>
      </c>
    </row>
    <row r="43" spans="1:10" x14ac:dyDescent="0.25">
      <c r="A43" s="10">
        <v>43875</v>
      </c>
      <c r="B43" s="11">
        <v>2020</v>
      </c>
      <c r="C43" s="11" t="s">
        <v>32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40280</v>
      </c>
      <c r="J43" s="14">
        <v>40280</v>
      </c>
    </row>
    <row r="44" spans="1:10" x14ac:dyDescent="0.25">
      <c r="A44" s="5">
        <v>43882</v>
      </c>
      <c r="B44" s="6">
        <v>2020</v>
      </c>
      <c r="C44" s="6" t="s">
        <v>32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30130</v>
      </c>
      <c r="J44" s="9">
        <v>30130</v>
      </c>
    </row>
    <row r="45" spans="1:10" x14ac:dyDescent="0.25">
      <c r="A45" s="10">
        <v>43882</v>
      </c>
      <c r="B45" s="11">
        <v>2020</v>
      </c>
      <c r="C45" s="11" t="s">
        <v>32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31650</v>
      </c>
      <c r="J45" s="14">
        <v>31650</v>
      </c>
    </row>
    <row r="46" spans="1:10" x14ac:dyDescent="0.25">
      <c r="A46" s="5">
        <v>43884</v>
      </c>
      <c r="B46" s="6">
        <v>2020</v>
      </c>
      <c r="C46" s="6" t="s">
        <v>32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38525</v>
      </c>
      <c r="J46" s="9">
        <v>38525</v>
      </c>
    </row>
    <row r="47" spans="1:10" x14ac:dyDescent="0.25">
      <c r="A47" s="10">
        <v>43862</v>
      </c>
      <c r="B47" s="11">
        <v>2020</v>
      </c>
      <c r="C47" s="11" t="s">
        <v>32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31705</v>
      </c>
      <c r="J47" s="14">
        <v>31705</v>
      </c>
    </row>
    <row r="48" spans="1:10" x14ac:dyDescent="0.25">
      <c r="A48" s="5">
        <v>43863</v>
      </c>
      <c r="B48" s="6">
        <v>2020</v>
      </c>
      <c r="C48" s="6" t="s">
        <v>32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38847</v>
      </c>
      <c r="J48" s="9">
        <v>38847</v>
      </c>
    </row>
    <row r="49" spans="1:10" x14ac:dyDescent="0.25">
      <c r="A49" s="10">
        <v>43873</v>
      </c>
      <c r="B49" s="11">
        <v>2020</v>
      </c>
      <c r="C49" s="11" t="s">
        <v>32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29917</v>
      </c>
      <c r="J49" s="14">
        <v>29917</v>
      </c>
    </row>
    <row r="50" spans="1:10" x14ac:dyDescent="0.25">
      <c r="A50" s="5">
        <v>43873</v>
      </c>
      <c r="B50" s="6">
        <v>2020</v>
      </c>
      <c r="C50" s="6" t="s">
        <v>32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30761</v>
      </c>
      <c r="J50" s="9">
        <v>30761</v>
      </c>
    </row>
    <row r="51" spans="1:10" x14ac:dyDescent="0.25">
      <c r="A51" s="10">
        <v>43873</v>
      </c>
      <c r="B51" s="11">
        <v>2020</v>
      </c>
      <c r="C51" s="11" t="s">
        <v>32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31357</v>
      </c>
      <c r="J51" s="14">
        <v>31357</v>
      </c>
    </row>
    <row r="52" spans="1:10" x14ac:dyDescent="0.25">
      <c r="A52" s="5">
        <v>43877</v>
      </c>
      <c r="B52" s="6">
        <v>2020</v>
      </c>
      <c r="C52" s="6" t="s">
        <v>32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36030</v>
      </c>
      <c r="J52" s="9">
        <v>36030</v>
      </c>
    </row>
    <row r="53" spans="1:10" x14ac:dyDescent="0.25">
      <c r="A53" s="10">
        <v>43884</v>
      </c>
      <c r="B53" s="11">
        <v>2020</v>
      </c>
      <c r="C53" s="11" t="s">
        <v>32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36674</v>
      </c>
      <c r="J53" s="14">
        <v>36674</v>
      </c>
    </row>
    <row r="54" spans="1:10" x14ac:dyDescent="0.25">
      <c r="A54" s="5">
        <v>43889</v>
      </c>
      <c r="B54" s="6">
        <v>2020</v>
      </c>
      <c r="C54" s="6" t="s">
        <v>32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34716</v>
      </c>
      <c r="J54" s="9">
        <v>34716</v>
      </c>
    </row>
    <row r="55" spans="1:10" x14ac:dyDescent="0.25">
      <c r="A55" s="10">
        <v>43890</v>
      </c>
      <c r="B55" s="11">
        <v>2020</v>
      </c>
      <c r="C55" s="11" t="s">
        <v>32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38558</v>
      </c>
      <c r="J55" s="14">
        <v>38558</v>
      </c>
    </row>
    <row r="56" spans="1:10" x14ac:dyDescent="0.25">
      <c r="A56" s="5">
        <v>43873</v>
      </c>
      <c r="B56" s="6">
        <v>2020</v>
      </c>
      <c r="C56" s="6" t="s">
        <v>32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31899</v>
      </c>
      <c r="J56" s="9">
        <v>31899</v>
      </c>
    </row>
    <row r="57" spans="1:10" x14ac:dyDescent="0.25">
      <c r="A57" s="10">
        <v>43873</v>
      </c>
      <c r="B57" s="11">
        <v>2020</v>
      </c>
      <c r="C57" s="11" t="s">
        <v>32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31182</v>
      </c>
      <c r="J57" s="14">
        <v>31182</v>
      </c>
    </row>
    <row r="58" spans="1:10" x14ac:dyDescent="0.25">
      <c r="A58" s="5">
        <v>43873</v>
      </c>
      <c r="B58" s="6">
        <v>2020</v>
      </c>
      <c r="C58" s="6" t="s">
        <v>32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41644</v>
      </c>
      <c r="J58" s="9">
        <v>41644</v>
      </c>
    </row>
    <row r="59" spans="1:10" x14ac:dyDescent="0.25">
      <c r="A59" s="10">
        <v>43874</v>
      </c>
      <c r="B59" s="11">
        <v>2020</v>
      </c>
      <c r="C59" s="11" t="s">
        <v>32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38364</v>
      </c>
      <c r="J59" s="14">
        <v>38364</v>
      </c>
    </row>
    <row r="60" spans="1:10" x14ac:dyDescent="0.25">
      <c r="A60" s="5">
        <v>43877</v>
      </c>
      <c r="B60" s="6">
        <v>2020</v>
      </c>
      <c r="C60" s="6" t="s">
        <v>32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31227</v>
      </c>
      <c r="J60" s="9">
        <v>31227</v>
      </c>
    </row>
    <row r="61" spans="1:10" x14ac:dyDescent="0.25">
      <c r="A61" s="10">
        <v>43862</v>
      </c>
      <c r="B61" s="11">
        <v>2020</v>
      </c>
      <c r="C61" s="11" t="s">
        <v>32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37240</v>
      </c>
      <c r="J61" s="14">
        <v>37240</v>
      </c>
    </row>
    <row r="62" spans="1:10" x14ac:dyDescent="0.25">
      <c r="A62" s="5">
        <v>43863</v>
      </c>
      <c r="B62" s="6">
        <v>2020</v>
      </c>
      <c r="C62" s="6" t="s">
        <v>32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31060</v>
      </c>
      <c r="J62" s="9">
        <v>31060</v>
      </c>
    </row>
    <row r="63" spans="1:10" x14ac:dyDescent="0.25">
      <c r="A63" s="10">
        <v>43866</v>
      </c>
      <c r="B63" s="11">
        <v>2020</v>
      </c>
      <c r="C63" s="11" t="s">
        <v>32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28158</v>
      </c>
      <c r="J63" s="14">
        <v>28158</v>
      </c>
    </row>
    <row r="64" spans="1:10" x14ac:dyDescent="0.25">
      <c r="A64" s="5">
        <v>43875</v>
      </c>
      <c r="B64" s="6">
        <v>2020</v>
      </c>
      <c r="C64" s="6" t="s">
        <v>32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31671</v>
      </c>
      <c r="J64" s="9">
        <v>31671</v>
      </c>
    </row>
    <row r="65" spans="1:10" x14ac:dyDescent="0.25">
      <c r="A65" s="10">
        <v>43886</v>
      </c>
      <c r="B65" s="11">
        <v>2020</v>
      </c>
      <c r="C65" s="11" t="s">
        <v>32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33843</v>
      </c>
      <c r="J65" s="14">
        <v>33843</v>
      </c>
    </row>
    <row r="66" spans="1:10" x14ac:dyDescent="0.25">
      <c r="A66" s="5">
        <v>43863</v>
      </c>
      <c r="B66" s="6">
        <v>2020</v>
      </c>
      <c r="C66" s="6" t="s">
        <v>32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39324</v>
      </c>
      <c r="J66" s="9">
        <v>39324</v>
      </c>
    </row>
    <row r="67" spans="1:10" x14ac:dyDescent="0.25">
      <c r="A67" s="10">
        <v>43873</v>
      </c>
      <c r="B67" s="11">
        <v>2020</v>
      </c>
      <c r="C67" s="11" t="s">
        <v>32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29402</v>
      </c>
      <c r="J67" s="14">
        <v>29402</v>
      </c>
    </row>
    <row r="68" spans="1:10" x14ac:dyDescent="0.25">
      <c r="A68" s="5">
        <v>43878</v>
      </c>
      <c r="B68" s="6">
        <v>2020</v>
      </c>
      <c r="C68" s="6" t="s">
        <v>32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41475</v>
      </c>
      <c r="J68" s="9">
        <v>41475</v>
      </c>
    </row>
    <row r="69" spans="1:10" x14ac:dyDescent="0.25">
      <c r="A69" s="10">
        <v>43862</v>
      </c>
      <c r="B69" s="11">
        <v>2020</v>
      </c>
      <c r="C69" s="11" t="s">
        <v>32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40762</v>
      </c>
      <c r="J69" s="14">
        <v>40762</v>
      </c>
    </row>
    <row r="70" spans="1:10" x14ac:dyDescent="0.25">
      <c r="A70" s="5">
        <v>43879</v>
      </c>
      <c r="B70" s="6">
        <v>2020</v>
      </c>
      <c r="C70" s="6" t="s">
        <v>32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29804</v>
      </c>
      <c r="J70" s="9">
        <v>29804</v>
      </c>
    </row>
    <row r="71" spans="1:10" x14ac:dyDescent="0.25">
      <c r="A71" s="10">
        <v>43881</v>
      </c>
      <c r="B71" s="11">
        <v>2020</v>
      </c>
      <c r="C71" s="11" t="s">
        <v>32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30025</v>
      </c>
      <c r="J71" s="14">
        <v>30025</v>
      </c>
    </row>
    <row r="72" spans="1:10" x14ac:dyDescent="0.25">
      <c r="A72" s="5">
        <v>43872</v>
      </c>
      <c r="B72" s="6">
        <v>2020</v>
      </c>
      <c r="C72" s="6" t="s">
        <v>32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33756</v>
      </c>
      <c r="J72" s="9">
        <v>33756</v>
      </c>
    </row>
    <row r="73" spans="1:10" x14ac:dyDescent="0.25">
      <c r="A73" s="10">
        <v>43873</v>
      </c>
      <c r="B73" s="11">
        <v>2020</v>
      </c>
      <c r="C73" s="11" t="s">
        <v>32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30743</v>
      </c>
      <c r="J73" s="14">
        <v>30743</v>
      </c>
    </row>
    <row r="74" spans="1:10" x14ac:dyDescent="0.25">
      <c r="A74" s="15">
        <v>43876</v>
      </c>
      <c r="B74" s="16">
        <v>2020</v>
      </c>
      <c r="C74" s="16" t="s">
        <v>32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41189</v>
      </c>
      <c r="J74" s="19">
        <v>41189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012A-064F-4C39-BAFC-D862D6AB013D}">
  <sheetPr codeName="Sheet3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43892</v>
      </c>
      <c r="B2" s="6">
        <v>2020</v>
      </c>
      <c r="C2" s="6" t="s">
        <v>33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38382</v>
      </c>
      <c r="J2" s="9">
        <v>38382</v>
      </c>
      <c r="L2" t="s">
        <v>29</v>
      </c>
      <c r="M2" s="32">
        <f>AVERAGE('March 2020'!$I$2:$I$74)</f>
        <v>35679.383561643837</v>
      </c>
    </row>
    <row r="3" spans="1:13" x14ac:dyDescent="0.25">
      <c r="A3" s="10">
        <v>43892</v>
      </c>
      <c r="B3" s="11">
        <v>2020</v>
      </c>
      <c r="C3" s="11" t="s">
        <v>33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35831</v>
      </c>
      <c r="J3" s="14">
        <v>35831</v>
      </c>
    </row>
    <row r="4" spans="1:13" x14ac:dyDescent="0.25">
      <c r="A4" s="5">
        <v>43894</v>
      </c>
      <c r="B4" s="6">
        <v>2020</v>
      </c>
      <c r="C4" s="6" t="s">
        <v>33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37959</v>
      </c>
      <c r="J4" s="9">
        <v>37959</v>
      </c>
    </row>
    <row r="5" spans="1:13" x14ac:dyDescent="0.25">
      <c r="A5" s="10">
        <v>43902</v>
      </c>
      <c r="B5" s="11">
        <v>2020</v>
      </c>
      <c r="C5" s="11" t="s">
        <v>33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31134</v>
      </c>
      <c r="J5" s="14">
        <v>31134</v>
      </c>
    </row>
    <row r="6" spans="1:13" x14ac:dyDescent="0.25">
      <c r="A6" s="5">
        <v>43912</v>
      </c>
      <c r="B6" s="6">
        <v>2020</v>
      </c>
      <c r="C6" s="6" t="s">
        <v>33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35743</v>
      </c>
      <c r="J6" s="9">
        <v>35743</v>
      </c>
    </row>
    <row r="7" spans="1:13" x14ac:dyDescent="0.25">
      <c r="A7" s="10">
        <v>43916</v>
      </c>
      <c r="B7" s="11">
        <v>2020</v>
      </c>
      <c r="C7" s="11" t="s">
        <v>33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38308</v>
      </c>
      <c r="J7" s="14">
        <v>38308</v>
      </c>
    </row>
    <row r="8" spans="1:13" x14ac:dyDescent="0.25">
      <c r="A8" s="5">
        <v>43918</v>
      </c>
      <c r="B8" s="6">
        <v>2020</v>
      </c>
      <c r="C8" s="6" t="s">
        <v>33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34087</v>
      </c>
      <c r="J8" s="9">
        <v>34087</v>
      </c>
    </row>
    <row r="9" spans="1:13" x14ac:dyDescent="0.25">
      <c r="A9" s="10">
        <v>43921</v>
      </c>
      <c r="B9" s="11">
        <v>2020</v>
      </c>
      <c r="C9" s="11" t="s">
        <v>33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37947</v>
      </c>
      <c r="J9" s="14">
        <v>37947</v>
      </c>
    </row>
    <row r="10" spans="1:13" x14ac:dyDescent="0.25">
      <c r="A10" s="5">
        <v>43892</v>
      </c>
      <c r="B10" s="6">
        <v>2020</v>
      </c>
      <c r="C10" s="6" t="s">
        <v>33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35288</v>
      </c>
      <c r="J10" s="9">
        <v>35288</v>
      </c>
    </row>
    <row r="11" spans="1:13" x14ac:dyDescent="0.25">
      <c r="A11" s="10">
        <v>43892</v>
      </c>
      <c r="B11" s="11">
        <v>2020</v>
      </c>
      <c r="C11" s="11" t="s">
        <v>33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35309</v>
      </c>
      <c r="J11" s="14">
        <v>70618</v>
      </c>
    </row>
    <row r="12" spans="1:13" x14ac:dyDescent="0.25">
      <c r="A12" s="5">
        <v>43892</v>
      </c>
      <c r="B12" s="6">
        <v>2020</v>
      </c>
      <c r="C12" s="6" t="s">
        <v>33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35953</v>
      </c>
      <c r="J12" s="9">
        <v>35953</v>
      </c>
    </row>
    <row r="13" spans="1:13" x14ac:dyDescent="0.25">
      <c r="A13" s="10">
        <v>43894</v>
      </c>
      <c r="B13" s="11">
        <v>2020</v>
      </c>
      <c r="C13" s="11" t="s">
        <v>33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38576</v>
      </c>
      <c r="J13" s="14">
        <v>38576</v>
      </c>
    </row>
    <row r="14" spans="1:13" x14ac:dyDescent="0.25">
      <c r="A14" s="5">
        <v>43895</v>
      </c>
      <c r="B14" s="6">
        <v>2020</v>
      </c>
      <c r="C14" s="6" t="s">
        <v>33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38118</v>
      </c>
      <c r="J14" s="9">
        <v>38118</v>
      </c>
    </row>
    <row r="15" spans="1:13" x14ac:dyDescent="0.25">
      <c r="A15" s="10">
        <v>43899</v>
      </c>
      <c r="B15" s="11">
        <v>2020</v>
      </c>
      <c r="C15" s="11" t="s">
        <v>33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33204</v>
      </c>
      <c r="J15" s="14">
        <v>33204</v>
      </c>
    </row>
    <row r="16" spans="1:13" x14ac:dyDescent="0.25">
      <c r="A16" s="5">
        <v>43904</v>
      </c>
      <c r="B16" s="6">
        <v>2020</v>
      </c>
      <c r="C16" s="6" t="s">
        <v>33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34187</v>
      </c>
      <c r="J16" s="9">
        <v>34187</v>
      </c>
    </row>
    <row r="17" spans="1:10" x14ac:dyDescent="0.25">
      <c r="A17" s="10">
        <v>43906</v>
      </c>
      <c r="B17" s="11">
        <v>2020</v>
      </c>
      <c r="C17" s="11" t="s">
        <v>33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33611</v>
      </c>
      <c r="J17" s="14">
        <v>33611</v>
      </c>
    </row>
    <row r="18" spans="1:10" x14ac:dyDescent="0.25">
      <c r="A18" s="5">
        <v>43909</v>
      </c>
      <c r="B18" s="6">
        <v>2020</v>
      </c>
      <c r="C18" s="6" t="s">
        <v>33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39460</v>
      </c>
      <c r="J18" s="9">
        <v>39460</v>
      </c>
    </row>
    <row r="19" spans="1:10" x14ac:dyDescent="0.25">
      <c r="A19" s="10">
        <v>43911</v>
      </c>
      <c r="B19" s="11">
        <v>2020</v>
      </c>
      <c r="C19" s="11" t="s">
        <v>33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34893</v>
      </c>
      <c r="J19" s="14">
        <v>34893</v>
      </c>
    </row>
    <row r="20" spans="1:10" x14ac:dyDescent="0.25">
      <c r="A20" s="5">
        <v>43913</v>
      </c>
      <c r="B20" s="6">
        <v>2020</v>
      </c>
      <c r="C20" s="6" t="s">
        <v>33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37987</v>
      </c>
      <c r="J20" s="9">
        <v>37987</v>
      </c>
    </row>
    <row r="21" spans="1:10" x14ac:dyDescent="0.25">
      <c r="A21" s="10">
        <v>43920</v>
      </c>
      <c r="B21" s="11">
        <v>2020</v>
      </c>
      <c r="C21" s="11" t="s">
        <v>33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35432</v>
      </c>
      <c r="J21" s="14">
        <v>35432</v>
      </c>
    </row>
    <row r="22" spans="1:10" x14ac:dyDescent="0.25">
      <c r="A22" s="5">
        <v>43892</v>
      </c>
      <c r="B22" s="6">
        <v>2020</v>
      </c>
      <c r="C22" s="6" t="s">
        <v>33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32595</v>
      </c>
      <c r="J22" s="9">
        <v>32595</v>
      </c>
    </row>
    <row r="23" spans="1:10" x14ac:dyDescent="0.25">
      <c r="A23" s="10">
        <v>43893</v>
      </c>
      <c r="B23" s="11">
        <v>2020</v>
      </c>
      <c r="C23" s="11" t="s">
        <v>33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39663</v>
      </c>
      <c r="J23" s="14">
        <v>39663</v>
      </c>
    </row>
    <row r="24" spans="1:10" x14ac:dyDescent="0.25">
      <c r="A24" s="5">
        <v>43894</v>
      </c>
      <c r="B24" s="6">
        <v>2020</v>
      </c>
      <c r="C24" s="6" t="s">
        <v>33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35046</v>
      </c>
      <c r="J24" s="9">
        <v>35046</v>
      </c>
    </row>
    <row r="25" spans="1:10" x14ac:dyDescent="0.25">
      <c r="A25" s="10">
        <v>43897</v>
      </c>
      <c r="B25" s="11">
        <v>2020</v>
      </c>
      <c r="C25" s="11" t="s">
        <v>33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36520</v>
      </c>
      <c r="J25" s="14">
        <v>36520</v>
      </c>
    </row>
    <row r="26" spans="1:10" x14ac:dyDescent="0.25">
      <c r="A26" s="5">
        <v>43902</v>
      </c>
      <c r="B26" s="6">
        <v>2020</v>
      </c>
      <c r="C26" s="6" t="s">
        <v>33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32927</v>
      </c>
      <c r="J26" s="9">
        <v>32927</v>
      </c>
    </row>
    <row r="27" spans="1:10" x14ac:dyDescent="0.25">
      <c r="A27" s="10">
        <v>43914</v>
      </c>
      <c r="B27" s="11">
        <v>2020</v>
      </c>
      <c r="C27" s="11" t="s">
        <v>33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39421</v>
      </c>
      <c r="J27" s="14">
        <v>78842</v>
      </c>
    </row>
    <row r="28" spans="1:10" x14ac:dyDescent="0.25">
      <c r="A28" s="5">
        <v>43914</v>
      </c>
      <c r="B28" s="6">
        <v>2020</v>
      </c>
      <c r="C28" s="6" t="s">
        <v>33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31931</v>
      </c>
      <c r="J28" s="9">
        <v>31931</v>
      </c>
    </row>
    <row r="29" spans="1:10" x14ac:dyDescent="0.25">
      <c r="A29" s="10">
        <v>43917</v>
      </c>
      <c r="B29" s="11">
        <v>2020</v>
      </c>
      <c r="C29" s="11" t="s">
        <v>33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33187</v>
      </c>
      <c r="J29" s="14">
        <v>33187</v>
      </c>
    </row>
    <row r="30" spans="1:10" x14ac:dyDescent="0.25">
      <c r="A30" s="5">
        <v>43919</v>
      </c>
      <c r="B30" s="6">
        <v>2020</v>
      </c>
      <c r="C30" s="6" t="s">
        <v>33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36970</v>
      </c>
      <c r="J30" s="9">
        <v>36970</v>
      </c>
    </row>
    <row r="31" spans="1:10" x14ac:dyDescent="0.25">
      <c r="A31" s="10">
        <v>43894</v>
      </c>
      <c r="B31" s="11">
        <v>2020</v>
      </c>
      <c r="C31" s="11" t="s">
        <v>33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34472</v>
      </c>
      <c r="J31" s="14">
        <v>34472</v>
      </c>
    </row>
    <row r="32" spans="1:10" x14ac:dyDescent="0.25">
      <c r="A32" s="5">
        <v>43896</v>
      </c>
      <c r="B32" s="6">
        <v>2020</v>
      </c>
      <c r="C32" s="6" t="s">
        <v>33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31823</v>
      </c>
      <c r="J32" s="9">
        <v>31823</v>
      </c>
    </row>
    <row r="33" spans="1:10" x14ac:dyDescent="0.25">
      <c r="A33" s="10">
        <v>43898</v>
      </c>
      <c r="B33" s="11">
        <v>2020</v>
      </c>
      <c r="C33" s="11" t="s">
        <v>33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39852</v>
      </c>
      <c r="J33" s="14">
        <v>39852</v>
      </c>
    </row>
    <row r="34" spans="1:10" x14ac:dyDescent="0.25">
      <c r="A34" s="5">
        <v>43900</v>
      </c>
      <c r="B34" s="6">
        <v>2020</v>
      </c>
      <c r="C34" s="6" t="s">
        <v>33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32963</v>
      </c>
      <c r="J34" s="9">
        <v>32963</v>
      </c>
    </row>
    <row r="35" spans="1:10" x14ac:dyDescent="0.25">
      <c r="A35" s="10">
        <v>43902</v>
      </c>
      <c r="B35" s="11">
        <v>2020</v>
      </c>
      <c r="C35" s="11" t="s">
        <v>33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34051</v>
      </c>
      <c r="J35" s="14">
        <v>34051</v>
      </c>
    </row>
    <row r="36" spans="1:10" x14ac:dyDescent="0.25">
      <c r="A36" s="5">
        <v>43903</v>
      </c>
      <c r="B36" s="6">
        <v>2020</v>
      </c>
      <c r="C36" s="6" t="s">
        <v>33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32756</v>
      </c>
      <c r="J36" s="9">
        <v>32756</v>
      </c>
    </row>
    <row r="37" spans="1:10" x14ac:dyDescent="0.25">
      <c r="A37" s="10">
        <v>43904</v>
      </c>
      <c r="B37" s="11">
        <v>2020</v>
      </c>
      <c r="C37" s="11" t="s">
        <v>33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32844</v>
      </c>
      <c r="J37" s="14">
        <v>32844</v>
      </c>
    </row>
    <row r="38" spans="1:10" x14ac:dyDescent="0.25">
      <c r="A38" s="5">
        <v>43914</v>
      </c>
      <c r="B38" s="6">
        <v>2020</v>
      </c>
      <c r="C38" s="6" t="s">
        <v>33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34697</v>
      </c>
      <c r="J38" s="9">
        <v>34697</v>
      </c>
    </row>
    <row r="39" spans="1:10" x14ac:dyDescent="0.25">
      <c r="A39" s="10">
        <v>43919</v>
      </c>
      <c r="B39" s="11">
        <v>2020</v>
      </c>
      <c r="C39" s="11" t="s">
        <v>33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34866</v>
      </c>
      <c r="J39" s="14">
        <v>34866</v>
      </c>
    </row>
    <row r="40" spans="1:10" x14ac:dyDescent="0.25">
      <c r="A40" s="5">
        <v>43892</v>
      </c>
      <c r="B40" s="6">
        <v>2020</v>
      </c>
      <c r="C40" s="6" t="s">
        <v>33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37833</v>
      </c>
      <c r="J40" s="9">
        <v>37833</v>
      </c>
    </row>
    <row r="41" spans="1:10" x14ac:dyDescent="0.25">
      <c r="A41" s="10">
        <v>43892</v>
      </c>
      <c r="B41" s="11">
        <v>2020</v>
      </c>
      <c r="C41" s="11" t="s">
        <v>33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38983</v>
      </c>
      <c r="J41" s="14">
        <v>38983</v>
      </c>
    </row>
    <row r="42" spans="1:10" x14ac:dyDescent="0.25">
      <c r="A42" s="5">
        <v>43896</v>
      </c>
      <c r="B42" s="6">
        <v>2020</v>
      </c>
      <c r="C42" s="6" t="s">
        <v>33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36315</v>
      </c>
      <c r="J42" s="9">
        <v>36315</v>
      </c>
    </row>
    <row r="43" spans="1:10" x14ac:dyDescent="0.25">
      <c r="A43" s="10">
        <v>43904</v>
      </c>
      <c r="B43" s="11">
        <v>2020</v>
      </c>
      <c r="C43" s="11" t="s">
        <v>33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32979</v>
      </c>
      <c r="J43" s="14">
        <v>32979</v>
      </c>
    </row>
    <row r="44" spans="1:10" x14ac:dyDescent="0.25">
      <c r="A44" s="5">
        <v>43911</v>
      </c>
      <c r="B44" s="6">
        <v>2020</v>
      </c>
      <c r="C44" s="6" t="s">
        <v>33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37356</v>
      </c>
      <c r="J44" s="9">
        <v>37356</v>
      </c>
    </row>
    <row r="45" spans="1:10" x14ac:dyDescent="0.25">
      <c r="A45" s="10">
        <v>43911</v>
      </c>
      <c r="B45" s="11">
        <v>2020</v>
      </c>
      <c r="C45" s="11" t="s">
        <v>33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38609</v>
      </c>
      <c r="J45" s="14">
        <v>38609</v>
      </c>
    </row>
    <row r="46" spans="1:10" x14ac:dyDescent="0.25">
      <c r="A46" s="5">
        <v>43913</v>
      </c>
      <c r="B46" s="6">
        <v>2020</v>
      </c>
      <c r="C46" s="6" t="s">
        <v>33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39008</v>
      </c>
      <c r="J46" s="9">
        <v>39008</v>
      </c>
    </row>
    <row r="47" spans="1:10" x14ac:dyDescent="0.25">
      <c r="A47" s="10">
        <v>43891</v>
      </c>
      <c r="B47" s="11">
        <v>2020</v>
      </c>
      <c r="C47" s="11" t="s">
        <v>33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39136</v>
      </c>
      <c r="J47" s="14">
        <v>39136</v>
      </c>
    </row>
    <row r="48" spans="1:10" x14ac:dyDescent="0.25">
      <c r="A48" s="5">
        <v>43892</v>
      </c>
      <c r="B48" s="6">
        <v>2020</v>
      </c>
      <c r="C48" s="6" t="s">
        <v>33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39032</v>
      </c>
      <c r="J48" s="9">
        <v>39032</v>
      </c>
    </row>
    <row r="49" spans="1:10" x14ac:dyDescent="0.25">
      <c r="A49" s="10">
        <v>43902</v>
      </c>
      <c r="B49" s="11">
        <v>2020</v>
      </c>
      <c r="C49" s="11" t="s">
        <v>33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38017</v>
      </c>
      <c r="J49" s="14">
        <v>38017</v>
      </c>
    </row>
    <row r="50" spans="1:10" x14ac:dyDescent="0.25">
      <c r="A50" s="5">
        <v>43902</v>
      </c>
      <c r="B50" s="6">
        <v>2020</v>
      </c>
      <c r="C50" s="6" t="s">
        <v>33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36982</v>
      </c>
      <c r="J50" s="9">
        <v>36982</v>
      </c>
    </row>
    <row r="51" spans="1:10" x14ac:dyDescent="0.25">
      <c r="A51" s="10">
        <v>43902</v>
      </c>
      <c r="B51" s="11">
        <v>2020</v>
      </c>
      <c r="C51" s="11" t="s">
        <v>33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31928</v>
      </c>
      <c r="J51" s="14">
        <v>31928</v>
      </c>
    </row>
    <row r="52" spans="1:10" x14ac:dyDescent="0.25">
      <c r="A52" s="5">
        <v>43906</v>
      </c>
      <c r="B52" s="6">
        <v>2020</v>
      </c>
      <c r="C52" s="6" t="s">
        <v>33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32241</v>
      </c>
      <c r="J52" s="9">
        <v>32241</v>
      </c>
    </row>
    <row r="53" spans="1:10" x14ac:dyDescent="0.25">
      <c r="A53" s="10">
        <v>43913</v>
      </c>
      <c r="B53" s="11">
        <v>2020</v>
      </c>
      <c r="C53" s="11" t="s">
        <v>33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33313</v>
      </c>
      <c r="J53" s="14">
        <v>33313</v>
      </c>
    </row>
    <row r="54" spans="1:10" x14ac:dyDescent="0.25">
      <c r="A54" s="5">
        <v>43918</v>
      </c>
      <c r="B54" s="6">
        <v>2020</v>
      </c>
      <c r="C54" s="6" t="s">
        <v>33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37007</v>
      </c>
      <c r="J54" s="9">
        <v>37007</v>
      </c>
    </row>
    <row r="55" spans="1:10" x14ac:dyDescent="0.25">
      <c r="A55" s="10">
        <v>43919</v>
      </c>
      <c r="B55" s="11">
        <v>2020</v>
      </c>
      <c r="C55" s="11" t="s">
        <v>33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36166</v>
      </c>
      <c r="J55" s="14">
        <v>36166</v>
      </c>
    </row>
    <row r="56" spans="1:10" x14ac:dyDescent="0.25">
      <c r="A56" s="5">
        <v>43902</v>
      </c>
      <c r="B56" s="6">
        <v>2020</v>
      </c>
      <c r="C56" s="6" t="s">
        <v>33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36185</v>
      </c>
      <c r="J56" s="9">
        <v>36185</v>
      </c>
    </row>
    <row r="57" spans="1:10" x14ac:dyDescent="0.25">
      <c r="A57" s="10">
        <v>43902</v>
      </c>
      <c r="B57" s="11">
        <v>2020</v>
      </c>
      <c r="C57" s="11" t="s">
        <v>33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31461</v>
      </c>
      <c r="J57" s="14">
        <v>31461</v>
      </c>
    </row>
    <row r="58" spans="1:10" x14ac:dyDescent="0.25">
      <c r="A58" s="5">
        <v>43902</v>
      </c>
      <c r="B58" s="6">
        <v>2020</v>
      </c>
      <c r="C58" s="6" t="s">
        <v>33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39464</v>
      </c>
      <c r="J58" s="9">
        <v>39464</v>
      </c>
    </row>
    <row r="59" spans="1:10" x14ac:dyDescent="0.25">
      <c r="A59" s="10">
        <v>43903</v>
      </c>
      <c r="B59" s="11">
        <v>2020</v>
      </c>
      <c r="C59" s="11" t="s">
        <v>33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37225</v>
      </c>
      <c r="J59" s="14">
        <v>37225</v>
      </c>
    </row>
    <row r="60" spans="1:10" x14ac:dyDescent="0.25">
      <c r="A60" s="5">
        <v>43906</v>
      </c>
      <c r="B60" s="6">
        <v>2020</v>
      </c>
      <c r="C60" s="6" t="s">
        <v>33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37906</v>
      </c>
      <c r="J60" s="9">
        <v>37906</v>
      </c>
    </row>
    <row r="61" spans="1:10" x14ac:dyDescent="0.25">
      <c r="A61" s="10">
        <v>43891</v>
      </c>
      <c r="B61" s="11">
        <v>2020</v>
      </c>
      <c r="C61" s="11" t="s">
        <v>33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37054</v>
      </c>
      <c r="J61" s="14">
        <v>37054</v>
      </c>
    </row>
    <row r="62" spans="1:10" x14ac:dyDescent="0.25">
      <c r="A62" s="5">
        <v>43892</v>
      </c>
      <c r="B62" s="6">
        <v>2020</v>
      </c>
      <c r="C62" s="6" t="s">
        <v>33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39645</v>
      </c>
      <c r="J62" s="9">
        <v>39645</v>
      </c>
    </row>
    <row r="63" spans="1:10" x14ac:dyDescent="0.25">
      <c r="A63" s="10">
        <v>43895</v>
      </c>
      <c r="B63" s="11">
        <v>2020</v>
      </c>
      <c r="C63" s="11" t="s">
        <v>33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31059</v>
      </c>
      <c r="J63" s="14">
        <v>31059</v>
      </c>
    </row>
    <row r="64" spans="1:10" x14ac:dyDescent="0.25">
      <c r="A64" s="5">
        <v>43904</v>
      </c>
      <c r="B64" s="6">
        <v>2020</v>
      </c>
      <c r="C64" s="6" t="s">
        <v>33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36122</v>
      </c>
      <c r="J64" s="9">
        <v>36122</v>
      </c>
    </row>
    <row r="65" spans="1:10" x14ac:dyDescent="0.25">
      <c r="A65" s="10">
        <v>43915</v>
      </c>
      <c r="B65" s="11">
        <v>2020</v>
      </c>
      <c r="C65" s="11" t="s">
        <v>33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32827</v>
      </c>
      <c r="J65" s="14">
        <v>32827</v>
      </c>
    </row>
    <row r="66" spans="1:10" x14ac:dyDescent="0.25">
      <c r="A66" s="5">
        <v>43892</v>
      </c>
      <c r="B66" s="6">
        <v>2020</v>
      </c>
      <c r="C66" s="6" t="s">
        <v>33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38308</v>
      </c>
      <c r="J66" s="9">
        <v>38308</v>
      </c>
    </row>
    <row r="67" spans="1:10" x14ac:dyDescent="0.25">
      <c r="A67" s="10">
        <v>43902</v>
      </c>
      <c r="B67" s="11">
        <v>2020</v>
      </c>
      <c r="C67" s="11" t="s">
        <v>33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31322</v>
      </c>
      <c r="J67" s="14">
        <v>31322</v>
      </c>
    </row>
    <row r="68" spans="1:10" x14ac:dyDescent="0.25">
      <c r="A68" s="5">
        <v>43907</v>
      </c>
      <c r="B68" s="6">
        <v>2020</v>
      </c>
      <c r="C68" s="6" t="s">
        <v>33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34116</v>
      </c>
      <c r="J68" s="9">
        <v>34116</v>
      </c>
    </row>
    <row r="69" spans="1:10" x14ac:dyDescent="0.25">
      <c r="A69" s="10">
        <v>43891</v>
      </c>
      <c r="B69" s="11">
        <v>2020</v>
      </c>
      <c r="C69" s="11" t="s">
        <v>33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37805</v>
      </c>
      <c r="J69" s="14">
        <v>37805</v>
      </c>
    </row>
    <row r="70" spans="1:10" x14ac:dyDescent="0.25">
      <c r="A70" s="5">
        <v>43908</v>
      </c>
      <c r="B70" s="6">
        <v>2020</v>
      </c>
      <c r="C70" s="6" t="s">
        <v>33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37317</v>
      </c>
      <c r="J70" s="9">
        <v>37317</v>
      </c>
    </row>
    <row r="71" spans="1:10" x14ac:dyDescent="0.25">
      <c r="A71" s="10">
        <v>43910</v>
      </c>
      <c r="B71" s="11">
        <v>2020</v>
      </c>
      <c r="C71" s="11" t="s">
        <v>33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35644</v>
      </c>
      <c r="J71" s="14">
        <v>35644</v>
      </c>
    </row>
    <row r="72" spans="1:10" x14ac:dyDescent="0.25">
      <c r="A72" s="5">
        <v>43901</v>
      </c>
      <c r="B72" s="6">
        <v>2020</v>
      </c>
      <c r="C72" s="6" t="s">
        <v>33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32950</v>
      </c>
      <c r="J72" s="9">
        <v>32950</v>
      </c>
    </row>
    <row r="73" spans="1:10" x14ac:dyDescent="0.25">
      <c r="A73" s="10">
        <v>43902</v>
      </c>
      <c r="B73" s="11">
        <v>2020</v>
      </c>
      <c r="C73" s="11" t="s">
        <v>33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31384</v>
      </c>
      <c r="J73" s="14">
        <v>31384</v>
      </c>
    </row>
    <row r="74" spans="1:10" x14ac:dyDescent="0.25">
      <c r="A74" s="15">
        <v>43905</v>
      </c>
      <c r="B74" s="16">
        <v>2020</v>
      </c>
      <c r="C74" s="16" t="s">
        <v>33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33903</v>
      </c>
      <c r="J74" s="19">
        <v>33903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9F84-33F4-480E-81A9-FD27C9692DE5}">
  <sheetPr codeName="Sheet4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43923</v>
      </c>
      <c r="B2" s="6">
        <v>2020</v>
      </c>
      <c r="C2" s="6" t="s">
        <v>34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32880</v>
      </c>
      <c r="J2" s="9">
        <v>32880</v>
      </c>
      <c r="L2" t="s">
        <v>29</v>
      </c>
      <c r="M2" s="1">
        <f>AVERAGE('April 2020'!$I$2:$I$74)</f>
        <v>35703.794520547948</v>
      </c>
    </row>
    <row r="3" spans="1:13" x14ac:dyDescent="0.25">
      <c r="A3" s="10">
        <v>43923</v>
      </c>
      <c r="B3" s="11">
        <v>2020</v>
      </c>
      <c r="C3" s="11" t="s">
        <v>34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39535</v>
      </c>
      <c r="J3" s="14">
        <v>39535</v>
      </c>
    </row>
    <row r="4" spans="1:13" x14ac:dyDescent="0.25">
      <c r="A4" s="5">
        <v>43925</v>
      </c>
      <c r="B4" s="6">
        <v>2020</v>
      </c>
      <c r="C4" s="6" t="s">
        <v>34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38543</v>
      </c>
      <c r="J4" s="9">
        <v>38543</v>
      </c>
    </row>
    <row r="5" spans="1:13" x14ac:dyDescent="0.25">
      <c r="A5" s="10">
        <v>43933</v>
      </c>
      <c r="B5" s="11">
        <v>2020</v>
      </c>
      <c r="C5" s="11" t="s">
        <v>34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35087</v>
      </c>
      <c r="J5" s="14">
        <v>35087</v>
      </c>
    </row>
    <row r="6" spans="1:13" x14ac:dyDescent="0.25">
      <c r="A6" s="5">
        <v>43943</v>
      </c>
      <c r="B6" s="6">
        <v>2020</v>
      </c>
      <c r="C6" s="6" t="s">
        <v>34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37340</v>
      </c>
      <c r="J6" s="9">
        <v>37340</v>
      </c>
    </row>
    <row r="7" spans="1:13" x14ac:dyDescent="0.25">
      <c r="A7" s="10">
        <v>43947</v>
      </c>
      <c r="B7" s="11">
        <v>2020</v>
      </c>
      <c r="C7" s="11" t="s">
        <v>34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35671</v>
      </c>
      <c r="J7" s="14">
        <v>35671</v>
      </c>
    </row>
    <row r="8" spans="1:13" x14ac:dyDescent="0.25">
      <c r="A8" s="5">
        <v>43949</v>
      </c>
      <c r="B8" s="6">
        <v>2020</v>
      </c>
      <c r="C8" s="6" t="s">
        <v>34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34296</v>
      </c>
      <c r="J8" s="9">
        <v>34296</v>
      </c>
    </row>
    <row r="9" spans="1:13" x14ac:dyDescent="0.25">
      <c r="A9" s="10">
        <v>43951</v>
      </c>
      <c r="B9" s="11">
        <v>2020</v>
      </c>
      <c r="C9" s="11" t="s">
        <v>34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34355</v>
      </c>
      <c r="J9" s="14">
        <v>34355</v>
      </c>
    </row>
    <row r="10" spans="1:13" x14ac:dyDescent="0.25">
      <c r="A10" s="5">
        <v>43923</v>
      </c>
      <c r="B10" s="6">
        <v>2020</v>
      </c>
      <c r="C10" s="6" t="s">
        <v>34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35989</v>
      </c>
      <c r="J10" s="9">
        <v>35989</v>
      </c>
    </row>
    <row r="11" spans="1:13" x14ac:dyDescent="0.25">
      <c r="A11" s="10">
        <v>43923</v>
      </c>
      <c r="B11" s="11">
        <v>2020</v>
      </c>
      <c r="C11" s="11" t="s">
        <v>34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37751</v>
      </c>
      <c r="J11" s="14">
        <v>75502</v>
      </c>
    </row>
    <row r="12" spans="1:13" x14ac:dyDescent="0.25">
      <c r="A12" s="5">
        <v>43923</v>
      </c>
      <c r="B12" s="6">
        <v>2020</v>
      </c>
      <c r="C12" s="6" t="s">
        <v>34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38440</v>
      </c>
      <c r="J12" s="9">
        <v>38440</v>
      </c>
    </row>
    <row r="13" spans="1:13" x14ac:dyDescent="0.25">
      <c r="A13" s="10">
        <v>43925</v>
      </c>
      <c r="B13" s="11">
        <v>2020</v>
      </c>
      <c r="C13" s="11" t="s">
        <v>34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39882</v>
      </c>
      <c r="J13" s="14">
        <v>39882</v>
      </c>
    </row>
    <row r="14" spans="1:13" x14ac:dyDescent="0.25">
      <c r="A14" s="5">
        <v>43926</v>
      </c>
      <c r="B14" s="6">
        <v>2020</v>
      </c>
      <c r="C14" s="6" t="s">
        <v>34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32282</v>
      </c>
      <c r="J14" s="9">
        <v>32282</v>
      </c>
    </row>
    <row r="15" spans="1:13" x14ac:dyDescent="0.25">
      <c r="A15" s="10">
        <v>43930</v>
      </c>
      <c r="B15" s="11">
        <v>2020</v>
      </c>
      <c r="C15" s="11" t="s">
        <v>34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31730</v>
      </c>
      <c r="J15" s="14">
        <v>31730</v>
      </c>
    </row>
    <row r="16" spans="1:13" x14ac:dyDescent="0.25">
      <c r="A16" s="5">
        <v>43935</v>
      </c>
      <c r="B16" s="6">
        <v>2020</v>
      </c>
      <c r="C16" s="6" t="s">
        <v>34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36843</v>
      </c>
      <c r="J16" s="9">
        <v>36843</v>
      </c>
    </row>
    <row r="17" spans="1:10" x14ac:dyDescent="0.25">
      <c r="A17" s="10">
        <v>43937</v>
      </c>
      <c r="B17" s="11">
        <v>2020</v>
      </c>
      <c r="C17" s="11" t="s">
        <v>34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38850</v>
      </c>
      <c r="J17" s="14">
        <v>38850</v>
      </c>
    </row>
    <row r="18" spans="1:10" x14ac:dyDescent="0.25">
      <c r="A18" s="5">
        <v>43940</v>
      </c>
      <c r="B18" s="6">
        <v>2020</v>
      </c>
      <c r="C18" s="6" t="s">
        <v>34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37750</v>
      </c>
      <c r="J18" s="9">
        <v>37750</v>
      </c>
    </row>
    <row r="19" spans="1:10" x14ac:dyDescent="0.25">
      <c r="A19" s="10">
        <v>43942</v>
      </c>
      <c r="B19" s="11">
        <v>2020</v>
      </c>
      <c r="C19" s="11" t="s">
        <v>34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33795</v>
      </c>
      <c r="J19" s="14">
        <v>33795</v>
      </c>
    </row>
    <row r="20" spans="1:10" x14ac:dyDescent="0.25">
      <c r="A20" s="5">
        <v>43944</v>
      </c>
      <c r="B20" s="6">
        <v>2020</v>
      </c>
      <c r="C20" s="6" t="s">
        <v>34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36886</v>
      </c>
      <c r="J20" s="9">
        <v>36886</v>
      </c>
    </row>
    <row r="21" spans="1:10" x14ac:dyDescent="0.25">
      <c r="A21" s="10">
        <v>43951</v>
      </c>
      <c r="B21" s="11">
        <v>2020</v>
      </c>
      <c r="C21" s="11" t="s">
        <v>34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35917</v>
      </c>
      <c r="J21" s="14">
        <v>35917</v>
      </c>
    </row>
    <row r="22" spans="1:10" x14ac:dyDescent="0.25">
      <c r="A22" s="5">
        <v>43923</v>
      </c>
      <c r="B22" s="6">
        <v>2020</v>
      </c>
      <c r="C22" s="6" t="s">
        <v>34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33737</v>
      </c>
      <c r="J22" s="9">
        <v>33737</v>
      </c>
    </row>
    <row r="23" spans="1:10" x14ac:dyDescent="0.25">
      <c r="A23" s="10">
        <v>43924</v>
      </c>
      <c r="B23" s="11">
        <v>2020</v>
      </c>
      <c r="C23" s="11" t="s">
        <v>34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37384</v>
      </c>
      <c r="J23" s="14">
        <v>37384</v>
      </c>
    </row>
    <row r="24" spans="1:10" x14ac:dyDescent="0.25">
      <c r="A24" s="5">
        <v>43925</v>
      </c>
      <c r="B24" s="6">
        <v>2020</v>
      </c>
      <c r="C24" s="6" t="s">
        <v>34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38071</v>
      </c>
      <c r="J24" s="9">
        <v>38071</v>
      </c>
    </row>
    <row r="25" spans="1:10" x14ac:dyDescent="0.25">
      <c r="A25" s="10">
        <v>43928</v>
      </c>
      <c r="B25" s="11">
        <v>2020</v>
      </c>
      <c r="C25" s="11" t="s">
        <v>34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39290</v>
      </c>
      <c r="J25" s="14">
        <v>39290</v>
      </c>
    </row>
    <row r="26" spans="1:10" x14ac:dyDescent="0.25">
      <c r="A26" s="5">
        <v>43933</v>
      </c>
      <c r="B26" s="6">
        <v>2020</v>
      </c>
      <c r="C26" s="6" t="s">
        <v>34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31556</v>
      </c>
      <c r="J26" s="9">
        <v>31556</v>
      </c>
    </row>
    <row r="27" spans="1:10" x14ac:dyDescent="0.25">
      <c r="A27" s="10">
        <v>43945</v>
      </c>
      <c r="B27" s="11">
        <v>2020</v>
      </c>
      <c r="C27" s="11" t="s">
        <v>34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38918</v>
      </c>
      <c r="J27" s="14">
        <v>77836</v>
      </c>
    </row>
    <row r="28" spans="1:10" x14ac:dyDescent="0.25">
      <c r="A28" s="5">
        <v>43945</v>
      </c>
      <c r="B28" s="6">
        <v>2020</v>
      </c>
      <c r="C28" s="6" t="s">
        <v>34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34260</v>
      </c>
      <c r="J28" s="9">
        <v>34260</v>
      </c>
    </row>
    <row r="29" spans="1:10" x14ac:dyDescent="0.25">
      <c r="A29" s="10">
        <v>43948</v>
      </c>
      <c r="B29" s="11">
        <v>2020</v>
      </c>
      <c r="C29" s="11" t="s">
        <v>34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35511</v>
      </c>
      <c r="J29" s="14">
        <v>35511</v>
      </c>
    </row>
    <row r="30" spans="1:10" x14ac:dyDescent="0.25">
      <c r="A30" s="5">
        <v>43950</v>
      </c>
      <c r="B30" s="6">
        <v>2020</v>
      </c>
      <c r="C30" s="6" t="s">
        <v>34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34810</v>
      </c>
      <c r="J30" s="9">
        <v>34810</v>
      </c>
    </row>
    <row r="31" spans="1:10" x14ac:dyDescent="0.25">
      <c r="A31" s="10">
        <v>43925</v>
      </c>
      <c r="B31" s="11">
        <v>2020</v>
      </c>
      <c r="C31" s="11" t="s">
        <v>34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32764</v>
      </c>
      <c r="J31" s="14">
        <v>32764</v>
      </c>
    </row>
    <row r="32" spans="1:10" x14ac:dyDescent="0.25">
      <c r="A32" s="5">
        <v>43927</v>
      </c>
      <c r="B32" s="6">
        <v>2020</v>
      </c>
      <c r="C32" s="6" t="s">
        <v>34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31264</v>
      </c>
      <c r="J32" s="9">
        <v>31264</v>
      </c>
    </row>
    <row r="33" spans="1:10" x14ac:dyDescent="0.25">
      <c r="A33" s="10">
        <v>43929</v>
      </c>
      <c r="B33" s="11">
        <v>2020</v>
      </c>
      <c r="C33" s="11" t="s">
        <v>34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31762</v>
      </c>
      <c r="J33" s="14">
        <v>31762</v>
      </c>
    </row>
    <row r="34" spans="1:10" x14ac:dyDescent="0.25">
      <c r="A34" s="5">
        <v>43931</v>
      </c>
      <c r="B34" s="6">
        <v>2020</v>
      </c>
      <c r="C34" s="6" t="s">
        <v>34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35131</v>
      </c>
      <c r="J34" s="9">
        <v>35131</v>
      </c>
    </row>
    <row r="35" spans="1:10" x14ac:dyDescent="0.25">
      <c r="A35" s="10">
        <v>43933</v>
      </c>
      <c r="B35" s="11">
        <v>2020</v>
      </c>
      <c r="C35" s="11" t="s">
        <v>34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39060</v>
      </c>
      <c r="J35" s="14">
        <v>39060</v>
      </c>
    </row>
    <row r="36" spans="1:10" x14ac:dyDescent="0.25">
      <c r="A36" s="5">
        <v>43934</v>
      </c>
      <c r="B36" s="6">
        <v>2020</v>
      </c>
      <c r="C36" s="6" t="s">
        <v>34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34304</v>
      </c>
      <c r="J36" s="9">
        <v>34304</v>
      </c>
    </row>
    <row r="37" spans="1:10" x14ac:dyDescent="0.25">
      <c r="A37" s="10">
        <v>43935</v>
      </c>
      <c r="B37" s="11">
        <v>2020</v>
      </c>
      <c r="C37" s="11" t="s">
        <v>34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35438</v>
      </c>
      <c r="J37" s="14">
        <v>35438</v>
      </c>
    </row>
    <row r="38" spans="1:10" x14ac:dyDescent="0.25">
      <c r="A38" s="5">
        <v>43945</v>
      </c>
      <c r="B38" s="6">
        <v>2020</v>
      </c>
      <c r="C38" s="6" t="s">
        <v>34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37933</v>
      </c>
      <c r="J38" s="9">
        <v>37933</v>
      </c>
    </row>
    <row r="39" spans="1:10" x14ac:dyDescent="0.25">
      <c r="A39" s="10">
        <v>43950</v>
      </c>
      <c r="B39" s="11">
        <v>2020</v>
      </c>
      <c r="C39" s="11" t="s">
        <v>34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36893</v>
      </c>
      <c r="J39" s="14">
        <v>36893</v>
      </c>
    </row>
    <row r="40" spans="1:10" x14ac:dyDescent="0.25">
      <c r="A40" s="5">
        <v>43923</v>
      </c>
      <c r="B40" s="6">
        <v>2020</v>
      </c>
      <c r="C40" s="6" t="s">
        <v>34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37942</v>
      </c>
      <c r="J40" s="9">
        <v>37942</v>
      </c>
    </row>
    <row r="41" spans="1:10" x14ac:dyDescent="0.25">
      <c r="A41" s="10">
        <v>43923</v>
      </c>
      <c r="B41" s="11">
        <v>2020</v>
      </c>
      <c r="C41" s="11" t="s">
        <v>34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38746</v>
      </c>
      <c r="J41" s="14">
        <v>38746</v>
      </c>
    </row>
    <row r="42" spans="1:10" x14ac:dyDescent="0.25">
      <c r="A42" s="5">
        <v>43927</v>
      </c>
      <c r="B42" s="6">
        <v>2020</v>
      </c>
      <c r="C42" s="6" t="s">
        <v>34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33178</v>
      </c>
      <c r="J42" s="9">
        <v>33178</v>
      </c>
    </row>
    <row r="43" spans="1:10" x14ac:dyDescent="0.25">
      <c r="A43" s="10">
        <v>43935</v>
      </c>
      <c r="B43" s="11">
        <v>2020</v>
      </c>
      <c r="C43" s="11" t="s">
        <v>34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34541</v>
      </c>
      <c r="J43" s="14">
        <v>34541</v>
      </c>
    </row>
    <row r="44" spans="1:10" x14ac:dyDescent="0.25">
      <c r="A44" s="5">
        <v>43942</v>
      </c>
      <c r="B44" s="6">
        <v>2020</v>
      </c>
      <c r="C44" s="6" t="s">
        <v>34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32295</v>
      </c>
      <c r="J44" s="9">
        <v>32295</v>
      </c>
    </row>
    <row r="45" spans="1:10" x14ac:dyDescent="0.25">
      <c r="A45" s="10">
        <v>43942</v>
      </c>
      <c r="B45" s="11">
        <v>2020</v>
      </c>
      <c r="C45" s="11" t="s">
        <v>34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39840</v>
      </c>
      <c r="J45" s="14">
        <v>39840</v>
      </c>
    </row>
    <row r="46" spans="1:10" x14ac:dyDescent="0.25">
      <c r="A46" s="5">
        <v>43944</v>
      </c>
      <c r="B46" s="6">
        <v>2020</v>
      </c>
      <c r="C46" s="6" t="s">
        <v>34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38808</v>
      </c>
      <c r="J46" s="9">
        <v>38808</v>
      </c>
    </row>
    <row r="47" spans="1:10" x14ac:dyDescent="0.25">
      <c r="A47" s="10">
        <v>43922</v>
      </c>
      <c r="B47" s="11">
        <v>2020</v>
      </c>
      <c r="C47" s="11" t="s">
        <v>34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31256</v>
      </c>
      <c r="J47" s="14">
        <v>31256</v>
      </c>
    </row>
    <row r="48" spans="1:10" x14ac:dyDescent="0.25">
      <c r="A48" s="5">
        <v>43923</v>
      </c>
      <c r="B48" s="6">
        <v>2020</v>
      </c>
      <c r="C48" s="6" t="s">
        <v>34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36341</v>
      </c>
      <c r="J48" s="9">
        <v>36341</v>
      </c>
    </row>
    <row r="49" spans="1:10" x14ac:dyDescent="0.25">
      <c r="A49" s="10">
        <v>43933</v>
      </c>
      <c r="B49" s="11">
        <v>2020</v>
      </c>
      <c r="C49" s="11" t="s">
        <v>34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33487</v>
      </c>
      <c r="J49" s="14">
        <v>33487</v>
      </c>
    </row>
    <row r="50" spans="1:10" x14ac:dyDescent="0.25">
      <c r="A50" s="5">
        <v>43933</v>
      </c>
      <c r="B50" s="6">
        <v>2020</v>
      </c>
      <c r="C50" s="6" t="s">
        <v>34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32851</v>
      </c>
      <c r="J50" s="9">
        <v>32851</v>
      </c>
    </row>
    <row r="51" spans="1:10" x14ac:dyDescent="0.25">
      <c r="A51" s="10">
        <v>43933</v>
      </c>
      <c r="B51" s="11">
        <v>2020</v>
      </c>
      <c r="C51" s="11" t="s">
        <v>34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39119</v>
      </c>
      <c r="J51" s="14">
        <v>39119</v>
      </c>
    </row>
    <row r="52" spans="1:10" x14ac:dyDescent="0.25">
      <c r="A52" s="5">
        <v>43937</v>
      </c>
      <c r="B52" s="6">
        <v>2020</v>
      </c>
      <c r="C52" s="6" t="s">
        <v>34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37408</v>
      </c>
      <c r="J52" s="9">
        <v>37408</v>
      </c>
    </row>
    <row r="53" spans="1:10" x14ac:dyDescent="0.25">
      <c r="A53" s="10">
        <v>43944</v>
      </c>
      <c r="B53" s="11">
        <v>2020</v>
      </c>
      <c r="C53" s="11" t="s">
        <v>34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34906</v>
      </c>
      <c r="J53" s="14">
        <v>34906</v>
      </c>
    </row>
    <row r="54" spans="1:10" x14ac:dyDescent="0.25">
      <c r="A54" s="5">
        <v>43949</v>
      </c>
      <c r="B54" s="6">
        <v>2020</v>
      </c>
      <c r="C54" s="6" t="s">
        <v>34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32185</v>
      </c>
      <c r="J54" s="9">
        <v>32185</v>
      </c>
    </row>
    <row r="55" spans="1:10" x14ac:dyDescent="0.25">
      <c r="A55" s="10">
        <v>43950</v>
      </c>
      <c r="B55" s="11">
        <v>2020</v>
      </c>
      <c r="C55" s="11" t="s">
        <v>34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39459</v>
      </c>
      <c r="J55" s="14">
        <v>39459</v>
      </c>
    </row>
    <row r="56" spans="1:10" x14ac:dyDescent="0.25">
      <c r="A56" s="5">
        <v>43933</v>
      </c>
      <c r="B56" s="6">
        <v>2020</v>
      </c>
      <c r="C56" s="6" t="s">
        <v>34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31995</v>
      </c>
      <c r="J56" s="9">
        <v>31995</v>
      </c>
    </row>
    <row r="57" spans="1:10" x14ac:dyDescent="0.25">
      <c r="A57" s="10">
        <v>43933</v>
      </c>
      <c r="B57" s="11">
        <v>2020</v>
      </c>
      <c r="C57" s="11" t="s">
        <v>34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39955</v>
      </c>
      <c r="J57" s="14">
        <v>39955</v>
      </c>
    </row>
    <row r="58" spans="1:10" x14ac:dyDescent="0.25">
      <c r="A58" s="5">
        <v>43933</v>
      </c>
      <c r="B58" s="6">
        <v>2020</v>
      </c>
      <c r="C58" s="6" t="s">
        <v>34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35956</v>
      </c>
      <c r="J58" s="9">
        <v>35956</v>
      </c>
    </row>
    <row r="59" spans="1:10" x14ac:dyDescent="0.25">
      <c r="A59" s="10">
        <v>43934</v>
      </c>
      <c r="B59" s="11">
        <v>2020</v>
      </c>
      <c r="C59" s="11" t="s">
        <v>34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38211</v>
      </c>
      <c r="J59" s="14">
        <v>38211</v>
      </c>
    </row>
    <row r="60" spans="1:10" x14ac:dyDescent="0.25">
      <c r="A60" s="5">
        <v>43937</v>
      </c>
      <c r="B60" s="6">
        <v>2020</v>
      </c>
      <c r="C60" s="6" t="s">
        <v>34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33234</v>
      </c>
      <c r="J60" s="9">
        <v>33234</v>
      </c>
    </row>
    <row r="61" spans="1:10" x14ac:dyDescent="0.25">
      <c r="A61" s="10">
        <v>43922</v>
      </c>
      <c r="B61" s="11">
        <v>2020</v>
      </c>
      <c r="C61" s="11" t="s">
        <v>34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34432</v>
      </c>
      <c r="J61" s="14">
        <v>34432</v>
      </c>
    </row>
    <row r="62" spans="1:10" x14ac:dyDescent="0.25">
      <c r="A62" s="5">
        <v>43923</v>
      </c>
      <c r="B62" s="6">
        <v>2020</v>
      </c>
      <c r="C62" s="6" t="s">
        <v>34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31232</v>
      </c>
      <c r="J62" s="9">
        <v>31232</v>
      </c>
    </row>
    <row r="63" spans="1:10" x14ac:dyDescent="0.25">
      <c r="A63" s="10">
        <v>43926</v>
      </c>
      <c r="B63" s="11">
        <v>2020</v>
      </c>
      <c r="C63" s="11" t="s">
        <v>34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36863</v>
      </c>
      <c r="J63" s="14">
        <v>36863</v>
      </c>
    </row>
    <row r="64" spans="1:10" x14ac:dyDescent="0.25">
      <c r="A64" s="5">
        <v>43935</v>
      </c>
      <c r="B64" s="6">
        <v>2020</v>
      </c>
      <c r="C64" s="6" t="s">
        <v>34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36334</v>
      </c>
      <c r="J64" s="9">
        <v>36334</v>
      </c>
    </row>
    <row r="65" spans="1:10" x14ac:dyDescent="0.25">
      <c r="A65" s="10">
        <v>43946</v>
      </c>
      <c r="B65" s="11">
        <v>2020</v>
      </c>
      <c r="C65" s="11" t="s">
        <v>34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35273</v>
      </c>
      <c r="J65" s="14">
        <v>35273</v>
      </c>
    </row>
    <row r="66" spans="1:10" x14ac:dyDescent="0.25">
      <c r="A66" s="5">
        <v>43923</v>
      </c>
      <c r="B66" s="6">
        <v>2020</v>
      </c>
      <c r="C66" s="6" t="s">
        <v>34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36729</v>
      </c>
      <c r="J66" s="9">
        <v>36729</v>
      </c>
    </row>
    <row r="67" spans="1:10" x14ac:dyDescent="0.25">
      <c r="A67" s="10">
        <v>43933</v>
      </c>
      <c r="B67" s="11">
        <v>2020</v>
      </c>
      <c r="C67" s="11" t="s">
        <v>34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32499</v>
      </c>
      <c r="J67" s="14">
        <v>32499</v>
      </c>
    </row>
    <row r="68" spans="1:10" x14ac:dyDescent="0.25">
      <c r="A68" s="5">
        <v>43938</v>
      </c>
      <c r="B68" s="6">
        <v>2020</v>
      </c>
      <c r="C68" s="6" t="s">
        <v>34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32919</v>
      </c>
      <c r="J68" s="9">
        <v>32919</v>
      </c>
    </row>
    <row r="69" spans="1:10" x14ac:dyDescent="0.25">
      <c r="A69" s="10">
        <v>43922</v>
      </c>
      <c r="B69" s="11">
        <v>2020</v>
      </c>
      <c r="C69" s="11" t="s">
        <v>34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37829</v>
      </c>
      <c r="J69" s="14">
        <v>37829</v>
      </c>
    </row>
    <row r="70" spans="1:10" x14ac:dyDescent="0.25">
      <c r="A70" s="5">
        <v>43939</v>
      </c>
      <c r="B70" s="6">
        <v>2020</v>
      </c>
      <c r="C70" s="6" t="s">
        <v>34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35269</v>
      </c>
      <c r="J70" s="9">
        <v>35269</v>
      </c>
    </row>
    <row r="71" spans="1:10" x14ac:dyDescent="0.25">
      <c r="A71" s="10">
        <v>43941</v>
      </c>
      <c r="B71" s="11">
        <v>2020</v>
      </c>
      <c r="C71" s="11" t="s">
        <v>34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35671</v>
      </c>
      <c r="J71" s="14">
        <v>35671</v>
      </c>
    </row>
    <row r="72" spans="1:10" x14ac:dyDescent="0.25">
      <c r="A72" s="5">
        <v>43932</v>
      </c>
      <c r="B72" s="6">
        <v>2020</v>
      </c>
      <c r="C72" s="6" t="s">
        <v>34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34593</v>
      </c>
      <c r="J72" s="9">
        <v>34593</v>
      </c>
    </row>
    <row r="73" spans="1:10" x14ac:dyDescent="0.25">
      <c r="A73" s="10">
        <v>43933</v>
      </c>
      <c r="B73" s="11">
        <v>2020</v>
      </c>
      <c r="C73" s="11" t="s">
        <v>34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33501</v>
      </c>
      <c r="J73" s="14">
        <v>33501</v>
      </c>
    </row>
    <row r="74" spans="1:10" x14ac:dyDescent="0.25">
      <c r="A74" s="15">
        <v>43936</v>
      </c>
      <c r="B74" s="16">
        <v>2020</v>
      </c>
      <c r="C74" s="16" t="s">
        <v>34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39612</v>
      </c>
      <c r="J74" s="19">
        <v>39612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863C-F12C-4A8D-AA4E-1080BFEC256A}">
  <sheetPr codeName="Sheet5"/>
  <dimension ref="A1:M74"/>
  <sheetViews>
    <sheetView tabSelected="1" zoomScaleNormal="100" workbookViewId="0">
      <selection activeCell="A37" sqref="A37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1.42578125" bestFit="1" customWidth="1"/>
    <col min="4" max="4" width="13.28515625" bestFit="1" customWidth="1"/>
    <col min="5" max="5" width="17.5703125" bestFit="1" customWidth="1"/>
    <col min="6" max="6" width="18.28515625" bestFit="1" customWidth="1"/>
    <col min="7" max="7" width="17.42578125" bestFit="1" customWidth="1"/>
    <col min="8" max="8" width="13.28515625" bestFit="1" customWidth="1"/>
    <col min="9" max="9" width="15.5703125" bestFit="1" customWidth="1"/>
    <col min="10" max="10" width="16.5703125" bestFit="1" customWidth="1"/>
    <col min="11" max="11" width="15.5703125" bestFit="1" customWidth="1"/>
    <col min="13" max="13" width="20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43953</v>
      </c>
      <c r="B2" s="6">
        <v>2020</v>
      </c>
      <c r="C2" s="6" t="s">
        <v>8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34353</v>
      </c>
      <c r="J2" s="9">
        <v>34353</v>
      </c>
      <c r="L2" t="s">
        <v>29</v>
      </c>
      <c r="M2" s="1">
        <f>AVERAGE('May 2020'!$I$2:$I$74)</f>
        <v>37219.534246575342</v>
      </c>
    </row>
    <row r="3" spans="1:13" x14ac:dyDescent="0.25">
      <c r="A3" s="10">
        <v>43953</v>
      </c>
      <c r="B3" s="11">
        <v>2020</v>
      </c>
      <c r="C3" s="11" t="s">
        <v>8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41375</v>
      </c>
      <c r="J3" s="14">
        <v>41375</v>
      </c>
    </row>
    <row r="4" spans="1:13" x14ac:dyDescent="0.25">
      <c r="A4" s="5">
        <v>43955</v>
      </c>
      <c r="B4" s="6">
        <v>2020</v>
      </c>
      <c r="C4" s="6" t="s">
        <v>8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33873</v>
      </c>
      <c r="J4" s="9">
        <v>33873</v>
      </c>
    </row>
    <row r="5" spans="1:13" x14ac:dyDescent="0.25">
      <c r="A5" s="10">
        <v>43963</v>
      </c>
      <c r="B5" s="11">
        <v>2020</v>
      </c>
      <c r="C5" s="11" t="s">
        <v>8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33821</v>
      </c>
      <c r="J5" s="14">
        <v>33821</v>
      </c>
    </row>
    <row r="6" spans="1:13" x14ac:dyDescent="0.25">
      <c r="A6" s="5">
        <v>43973</v>
      </c>
      <c r="B6" s="6">
        <v>2020</v>
      </c>
      <c r="C6" s="6" t="s">
        <v>8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41016</v>
      </c>
      <c r="J6" s="9">
        <v>41016</v>
      </c>
    </row>
    <row r="7" spans="1:13" x14ac:dyDescent="0.25">
      <c r="A7" s="10">
        <v>43977</v>
      </c>
      <c r="B7" s="11">
        <v>2020</v>
      </c>
      <c r="C7" s="11" t="s">
        <v>8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41648</v>
      </c>
      <c r="J7" s="14">
        <v>41648</v>
      </c>
    </row>
    <row r="8" spans="1:13" x14ac:dyDescent="0.25">
      <c r="A8" s="5">
        <v>43979</v>
      </c>
      <c r="B8" s="6">
        <v>2020</v>
      </c>
      <c r="C8" s="6" t="s">
        <v>8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35301</v>
      </c>
      <c r="J8" s="9">
        <v>35301</v>
      </c>
    </row>
    <row r="9" spans="1:13" x14ac:dyDescent="0.25">
      <c r="A9" s="10">
        <v>43982</v>
      </c>
      <c r="B9" s="11">
        <v>2020</v>
      </c>
      <c r="C9" s="11" t="s">
        <v>8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33551</v>
      </c>
      <c r="J9" s="14">
        <v>33551</v>
      </c>
    </row>
    <row r="10" spans="1:13" x14ac:dyDescent="0.25">
      <c r="A10" s="5">
        <v>43953</v>
      </c>
      <c r="B10" s="6">
        <v>2020</v>
      </c>
      <c r="C10" s="6" t="s">
        <v>8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36644</v>
      </c>
      <c r="J10" s="9">
        <v>36644</v>
      </c>
    </row>
    <row r="11" spans="1:13" x14ac:dyDescent="0.25">
      <c r="A11" s="10">
        <v>43953</v>
      </c>
      <c r="B11" s="11">
        <v>2020</v>
      </c>
      <c r="C11" s="11" t="s">
        <v>8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37679</v>
      </c>
      <c r="J11" s="14">
        <v>75358</v>
      </c>
    </row>
    <row r="12" spans="1:13" x14ac:dyDescent="0.25">
      <c r="A12" s="5">
        <v>43953</v>
      </c>
      <c r="B12" s="6">
        <v>2020</v>
      </c>
      <c r="C12" s="6" t="s">
        <v>8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34559</v>
      </c>
      <c r="J12" s="9">
        <v>34559</v>
      </c>
    </row>
    <row r="13" spans="1:13" x14ac:dyDescent="0.25">
      <c r="A13" s="10">
        <v>43955</v>
      </c>
      <c r="B13" s="11">
        <v>2020</v>
      </c>
      <c r="C13" s="11" t="s">
        <v>8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41663</v>
      </c>
      <c r="J13" s="14">
        <v>41663</v>
      </c>
    </row>
    <row r="14" spans="1:13" x14ac:dyDescent="0.25">
      <c r="A14" s="5">
        <v>43956</v>
      </c>
      <c r="B14" s="6">
        <v>2020</v>
      </c>
      <c r="C14" s="6" t="s">
        <v>8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33981</v>
      </c>
      <c r="J14" s="9">
        <v>33981</v>
      </c>
    </row>
    <row r="15" spans="1:13" x14ac:dyDescent="0.25">
      <c r="A15" s="10">
        <v>43960</v>
      </c>
      <c r="B15" s="11">
        <v>2020</v>
      </c>
      <c r="C15" s="11" t="s">
        <v>8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34516</v>
      </c>
      <c r="J15" s="14">
        <v>34516</v>
      </c>
    </row>
    <row r="16" spans="1:13" x14ac:dyDescent="0.25">
      <c r="A16" s="5">
        <v>43965</v>
      </c>
      <c r="B16" s="6">
        <v>2020</v>
      </c>
      <c r="C16" s="6" t="s">
        <v>8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39393</v>
      </c>
      <c r="J16" s="9">
        <v>39393</v>
      </c>
    </row>
    <row r="17" spans="1:10" x14ac:dyDescent="0.25">
      <c r="A17" s="10">
        <v>43967</v>
      </c>
      <c r="B17" s="11">
        <v>2020</v>
      </c>
      <c r="C17" s="11" t="s">
        <v>8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38691</v>
      </c>
      <c r="J17" s="14">
        <v>38691</v>
      </c>
    </row>
    <row r="18" spans="1:10" x14ac:dyDescent="0.25">
      <c r="A18" s="5">
        <v>43970</v>
      </c>
      <c r="B18" s="6">
        <v>2020</v>
      </c>
      <c r="C18" s="6" t="s">
        <v>8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41599</v>
      </c>
      <c r="J18" s="9">
        <v>41599</v>
      </c>
    </row>
    <row r="19" spans="1:10" x14ac:dyDescent="0.25">
      <c r="A19" s="10">
        <v>43972</v>
      </c>
      <c r="B19" s="11">
        <v>2020</v>
      </c>
      <c r="C19" s="11" t="s">
        <v>8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36863</v>
      </c>
      <c r="J19" s="14">
        <v>36863</v>
      </c>
    </row>
    <row r="20" spans="1:10" x14ac:dyDescent="0.25">
      <c r="A20" s="5">
        <v>43974</v>
      </c>
      <c r="B20" s="6">
        <v>2020</v>
      </c>
      <c r="C20" s="6" t="s">
        <v>8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38466</v>
      </c>
      <c r="J20" s="9">
        <v>38466</v>
      </c>
    </row>
    <row r="21" spans="1:10" x14ac:dyDescent="0.25">
      <c r="A21" s="10">
        <v>43981</v>
      </c>
      <c r="B21" s="11">
        <v>2020</v>
      </c>
      <c r="C21" s="11" t="s">
        <v>8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36223</v>
      </c>
      <c r="J21" s="14">
        <v>36223</v>
      </c>
    </row>
    <row r="22" spans="1:10" x14ac:dyDescent="0.25">
      <c r="A22" s="5">
        <v>43953</v>
      </c>
      <c r="B22" s="6">
        <v>2020</v>
      </c>
      <c r="C22" s="6" t="s">
        <v>8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37499</v>
      </c>
      <c r="J22" s="9">
        <v>37499</v>
      </c>
    </row>
    <row r="23" spans="1:10" x14ac:dyDescent="0.25">
      <c r="A23" s="10">
        <v>43954</v>
      </c>
      <c r="B23" s="11">
        <v>2020</v>
      </c>
      <c r="C23" s="11" t="s">
        <v>8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34866</v>
      </c>
      <c r="J23" s="14">
        <v>34866</v>
      </c>
    </row>
    <row r="24" spans="1:10" x14ac:dyDescent="0.25">
      <c r="A24" s="5">
        <v>43955</v>
      </c>
      <c r="B24" s="6">
        <v>2020</v>
      </c>
      <c r="C24" s="6" t="s">
        <v>8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33264</v>
      </c>
      <c r="J24" s="9">
        <v>33264</v>
      </c>
    </row>
    <row r="25" spans="1:10" x14ac:dyDescent="0.25">
      <c r="A25" s="10">
        <v>43958</v>
      </c>
      <c r="B25" s="11">
        <v>2020</v>
      </c>
      <c r="C25" s="11" t="s">
        <v>8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37697</v>
      </c>
      <c r="J25" s="14">
        <v>37697</v>
      </c>
    </row>
    <row r="26" spans="1:10" x14ac:dyDescent="0.25">
      <c r="A26" s="5">
        <v>43963</v>
      </c>
      <c r="B26" s="6">
        <v>2020</v>
      </c>
      <c r="C26" s="6" t="s">
        <v>8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34895</v>
      </c>
      <c r="J26" s="9">
        <v>34895</v>
      </c>
    </row>
    <row r="27" spans="1:10" x14ac:dyDescent="0.25">
      <c r="A27" s="10">
        <v>43975</v>
      </c>
      <c r="B27" s="11">
        <v>2020</v>
      </c>
      <c r="C27" s="11" t="s">
        <v>8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40509</v>
      </c>
      <c r="J27" s="14">
        <v>81018</v>
      </c>
    </row>
    <row r="28" spans="1:10" x14ac:dyDescent="0.25">
      <c r="A28" s="5">
        <v>43975</v>
      </c>
      <c r="B28" s="6">
        <v>2020</v>
      </c>
      <c r="C28" s="6" t="s">
        <v>8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37803</v>
      </c>
      <c r="J28" s="9">
        <v>37803</v>
      </c>
    </row>
    <row r="29" spans="1:10" x14ac:dyDescent="0.25">
      <c r="A29" s="10">
        <v>43978</v>
      </c>
      <c r="B29" s="11">
        <v>2020</v>
      </c>
      <c r="C29" s="11" t="s">
        <v>8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38638</v>
      </c>
      <c r="J29" s="14">
        <v>38638</v>
      </c>
    </row>
    <row r="30" spans="1:10" x14ac:dyDescent="0.25">
      <c r="A30" s="5">
        <v>43980</v>
      </c>
      <c r="B30" s="6">
        <v>2020</v>
      </c>
      <c r="C30" s="6" t="s">
        <v>8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34862</v>
      </c>
      <c r="J30" s="9">
        <v>34862</v>
      </c>
    </row>
    <row r="31" spans="1:10" x14ac:dyDescent="0.25">
      <c r="A31" s="10">
        <v>43955</v>
      </c>
      <c r="B31" s="11">
        <v>2020</v>
      </c>
      <c r="C31" s="11" t="s">
        <v>8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38468</v>
      </c>
      <c r="J31" s="14">
        <v>38468</v>
      </c>
    </row>
    <row r="32" spans="1:10" x14ac:dyDescent="0.25">
      <c r="A32" s="5">
        <v>43957</v>
      </c>
      <c r="B32" s="6">
        <v>2020</v>
      </c>
      <c r="C32" s="6" t="s">
        <v>8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36529</v>
      </c>
      <c r="J32" s="9">
        <v>36529</v>
      </c>
    </row>
    <row r="33" spans="1:10" x14ac:dyDescent="0.25">
      <c r="A33" s="10">
        <v>43959</v>
      </c>
      <c r="B33" s="11">
        <v>2020</v>
      </c>
      <c r="C33" s="11" t="s">
        <v>8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33235</v>
      </c>
      <c r="J33" s="14">
        <v>33235</v>
      </c>
    </row>
    <row r="34" spans="1:10" x14ac:dyDescent="0.25">
      <c r="A34" s="5">
        <v>43961</v>
      </c>
      <c r="B34" s="6">
        <v>2020</v>
      </c>
      <c r="C34" s="6" t="s">
        <v>8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37760</v>
      </c>
      <c r="J34" s="9">
        <v>37760</v>
      </c>
    </row>
    <row r="35" spans="1:10" x14ac:dyDescent="0.25">
      <c r="A35" s="10">
        <v>43963</v>
      </c>
      <c r="B35" s="11">
        <v>2020</v>
      </c>
      <c r="C35" s="11" t="s">
        <v>8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40882</v>
      </c>
      <c r="J35" s="14">
        <v>40882</v>
      </c>
    </row>
    <row r="36" spans="1:10" x14ac:dyDescent="0.25">
      <c r="A36" s="5">
        <v>43964</v>
      </c>
      <c r="B36" s="6">
        <v>2020</v>
      </c>
      <c r="C36" s="6" t="s">
        <v>8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33554</v>
      </c>
      <c r="J36" s="9">
        <v>33554</v>
      </c>
    </row>
    <row r="37" spans="1:10" x14ac:dyDescent="0.25">
      <c r="A37" s="10">
        <v>43965</v>
      </c>
      <c r="B37" s="11">
        <v>2020</v>
      </c>
      <c r="C37" s="11" t="s">
        <v>8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41203</v>
      </c>
      <c r="J37" s="14">
        <v>41203</v>
      </c>
    </row>
    <row r="38" spans="1:10" x14ac:dyDescent="0.25">
      <c r="A38" s="5">
        <v>43975</v>
      </c>
      <c r="B38" s="6">
        <v>2020</v>
      </c>
      <c r="C38" s="6" t="s">
        <v>8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38143</v>
      </c>
      <c r="J38" s="9">
        <v>38143</v>
      </c>
    </row>
    <row r="39" spans="1:10" x14ac:dyDescent="0.25">
      <c r="A39" s="10">
        <v>43980</v>
      </c>
      <c r="B39" s="11">
        <v>2020</v>
      </c>
      <c r="C39" s="11" t="s">
        <v>8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37057</v>
      </c>
      <c r="J39" s="14">
        <v>37057</v>
      </c>
    </row>
    <row r="40" spans="1:10" x14ac:dyDescent="0.25">
      <c r="A40" s="5">
        <v>43953</v>
      </c>
      <c r="B40" s="6">
        <v>2020</v>
      </c>
      <c r="C40" s="6" t="s">
        <v>8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41275</v>
      </c>
      <c r="J40" s="9">
        <v>41275</v>
      </c>
    </row>
    <row r="41" spans="1:10" x14ac:dyDescent="0.25">
      <c r="A41" s="10">
        <v>43953</v>
      </c>
      <c r="B41" s="11">
        <v>2020</v>
      </c>
      <c r="C41" s="11" t="s">
        <v>8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40794</v>
      </c>
      <c r="J41" s="14">
        <v>40794</v>
      </c>
    </row>
    <row r="42" spans="1:10" x14ac:dyDescent="0.25">
      <c r="A42" s="5">
        <v>43957</v>
      </c>
      <c r="B42" s="6">
        <v>2020</v>
      </c>
      <c r="C42" s="6" t="s">
        <v>8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40752</v>
      </c>
      <c r="J42" s="9">
        <v>40752</v>
      </c>
    </row>
    <row r="43" spans="1:10" x14ac:dyDescent="0.25">
      <c r="A43" s="10">
        <v>43965</v>
      </c>
      <c r="B43" s="11">
        <v>2020</v>
      </c>
      <c r="C43" s="11" t="s">
        <v>8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38638</v>
      </c>
      <c r="J43" s="14">
        <v>38638</v>
      </c>
    </row>
    <row r="44" spans="1:10" x14ac:dyDescent="0.25">
      <c r="A44" s="5">
        <v>43972</v>
      </c>
      <c r="B44" s="6">
        <v>2020</v>
      </c>
      <c r="C44" s="6" t="s">
        <v>8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33091</v>
      </c>
      <c r="J44" s="9">
        <v>33091</v>
      </c>
    </row>
    <row r="45" spans="1:10" x14ac:dyDescent="0.25">
      <c r="A45" s="10">
        <v>43972</v>
      </c>
      <c r="B45" s="11">
        <v>2020</v>
      </c>
      <c r="C45" s="11" t="s">
        <v>8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37024</v>
      </c>
      <c r="J45" s="14">
        <v>37024</v>
      </c>
    </row>
    <row r="46" spans="1:10" x14ac:dyDescent="0.25">
      <c r="A46" s="5">
        <v>43974</v>
      </c>
      <c r="B46" s="6">
        <v>2020</v>
      </c>
      <c r="C46" s="6" t="s">
        <v>8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37207</v>
      </c>
      <c r="J46" s="9">
        <v>37207</v>
      </c>
    </row>
    <row r="47" spans="1:10" x14ac:dyDescent="0.25">
      <c r="A47" s="10">
        <v>43952</v>
      </c>
      <c r="B47" s="11">
        <v>2020</v>
      </c>
      <c r="C47" s="11" t="s">
        <v>8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34512</v>
      </c>
      <c r="J47" s="14">
        <v>34512</v>
      </c>
    </row>
    <row r="48" spans="1:10" x14ac:dyDescent="0.25">
      <c r="A48" s="5">
        <v>43953</v>
      </c>
      <c r="B48" s="6">
        <v>2020</v>
      </c>
      <c r="C48" s="6" t="s">
        <v>8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33637</v>
      </c>
      <c r="J48" s="9">
        <v>33637</v>
      </c>
    </row>
    <row r="49" spans="1:10" x14ac:dyDescent="0.25">
      <c r="A49" s="10">
        <v>43963</v>
      </c>
      <c r="B49" s="11">
        <v>2020</v>
      </c>
      <c r="C49" s="11" t="s">
        <v>8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39424</v>
      </c>
      <c r="J49" s="14">
        <v>39424</v>
      </c>
    </row>
    <row r="50" spans="1:10" x14ac:dyDescent="0.25">
      <c r="A50" s="5">
        <v>43963</v>
      </c>
      <c r="B50" s="6">
        <v>2020</v>
      </c>
      <c r="C50" s="6" t="s">
        <v>8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34626</v>
      </c>
      <c r="J50" s="9">
        <v>34626</v>
      </c>
    </row>
    <row r="51" spans="1:10" x14ac:dyDescent="0.25">
      <c r="A51" s="10">
        <v>43963</v>
      </c>
      <c r="B51" s="11">
        <v>2020</v>
      </c>
      <c r="C51" s="11" t="s">
        <v>8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37251</v>
      </c>
      <c r="J51" s="14">
        <v>37251</v>
      </c>
    </row>
    <row r="52" spans="1:10" x14ac:dyDescent="0.25">
      <c r="A52" s="5">
        <v>43967</v>
      </c>
      <c r="B52" s="6">
        <v>2020</v>
      </c>
      <c r="C52" s="6" t="s">
        <v>8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41698</v>
      </c>
      <c r="J52" s="9">
        <v>41698</v>
      </c>
    </row>
    <row r="53" spans="1:10" x14ac:dyDescent="0.25">
      <c r="A53" s="10">
        <v>43974</v>
      </c>
      <c r="B53" s="11">
        <v>2020</v>
      </c>
      <c r="C53" s="11" t="s">
        <v>8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35378</v>
      </c>
      <c r="J53" s="14">
        <v>35378</v>
      </c>
    </row>
    <row r="54" spans="1:10" x14ac:dyDescent="0.25">
      <c r="A54" s="5">
        <v>43979</v>
      </c>
      <c r="B54" s="6">
        <v>2020</v>
      </c>
      <c r="C54" s="6" t="s">
        <v>8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36345</v>
      </c>
      <c r="J54" s="9">
        <v>36345</v>
      </c>
    </row>
    <row r="55" spans="1:10" x14ac:dyDescent="0.25">
      <c r="A55" s="10">
        <v>43980</v>
      </c>
      <c r="B55" s="11">
        <v>2020</v>
      </c>
      <c r="C55" s="11" t="s">
        <v>8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37021</v>
      </c>
      <c r="J55" s="14">
        <v>37021</v>
      </c>
    </row>
    <row r="56" spans="1:10" x14ac:dyDescent="0.25">
      <c r="A56" s="5">
        <v>43963</v>
      </c>
      <c r="B56" s="6">
        <v>2020</v>
      </c>
      <c r="C56" s="6" t="s">
        <v>8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36802</v>
      </c>
      <c r="J56" s="9">
        <v>36802</v>
      </c>
    </row>
    <row r="57" spans="1:10" x14ac:dyDescent="0.25">
      <c r="A57" s="10">
        <v>43963</v>
      </c>
      <c r="B57" s="11">
        <v>2020</v>
      </c>
      <c r="C57" s="11" t="s">
        <v>8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34869</v>
      </c>
      <c r="J57" s="14">
        <v>34869</v>
      </c>
    </row>
    <row r="58" spans="1:10" x14ac:dyDescent="0.25">
      <c r="A58" s="5">
        <v>43963</v>
      </c>
      <c r="B58" s="6">
        <v>2020</v>
      </c>
      <c r="C58" s="6" t="s">
        <v>8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33080</v>
      </c>
      <c r="J58" s="9">
        <v>33080</v>
      </c>
    </row>
    <row r="59" spans="1:10" x14ac:dyDescent="0.25">
      <c r="A59" s="10">
        <v>43964</v>
      </c>
      <c r="B59" s="11">
        <v>2020</v>
      </c>
      <c r="C59" s="11" t="s">
        <v>8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35556</v>
      </c>
      <c r="J59" s="14">
        <v>35556</v>
      </c>
    </row>
    <row r="60" spans="1:10" x14ac:dyDescent="0.25">
      <c r="A60" s="5">
        <v>43967</v>
      </c>
      <c r="B60" s="6">
        <v>2020</v>
      </c>
      <c r="C60" s="6" t="s">
        <v>8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37551</v>
      </c>
      <c r="J60" s="9">
        <v>37551</v>
      </c>
    </row>
    <row r="61" spans="1:10" x14ac:dyDescent="0.25">
      <c r="A61" s="10">
        <v>43952</v>
      </c>
      <c r="B61" s="11">
        <v>2020</v>
      </c>
      <c r="C61" s="11" t="s">
        <v>8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38467</v>
      </c>
      <c r="J61" s="14">
        <v>38467</v>
      </c>
    </row>
    <row r="62" spans="1:10" x14ac:dyDescent="0.25">
      <c r="A62" s="5">
        <v>43953</v>
      </c>
      <c r="B62" s="6">
        <v>2020</v>
      </c>
      <c r="C62" s="6" t="s">
        <v>8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34208</v>
      </c>
      <c r="J62" s="9">
        <v>34208</v>
      </c>
    </row>
    <row r="63" spans="1:10" x14ac:dyDescent="0.25">
      <c r="A63" s="10">
        <v>43956</v>
      </c>
      <c r="B63" s="11">
        <v>2020</v>
      </c>
      <c r="C63" s="11" t="s">
        <v>8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36235</v>
      </c>
      <c r="J63" s="14">
        <v>36235</v>
      </c>
    </row>
    <row r="64" spans="1:10" x14ac:dyDescent="0.25">
      <c r="A64" s="5">
        <v>43965</v>
      </c>
      <c r="B64" s="6">
        <v>2020</v>
      </c>
      <c r="C64" s="6" t="s">
        <v>8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37904</v>
      </c>
      <c r="J64" s="9">
        <v>37904</v>
      </c>
    </row>
    <row r="65" spans="1:10" x14ac:dyDescent="0.25">
      <c r="A65" s="10">
        <v>43976</v>
      </c>
      <c r="B65" s="11">
        <v>2020</v>
      </c>
      <c r="C65" s="11" t="s">
        <v>8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39677</v>
      </c>
      <c r="J65" s="14">
        <v>39677</v>
      </c>
    </row>
    <row r="66" spans="1:10" x14ac:dyDescent="0.25">
      <c r="A66" s="5">
        <v>43953</v>
      </c>
      <c r="B66" s="6">
        <v>2020</v>
      </c>
      <c r="C66" s="6" t="s">
        <v>8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33799</v>
      </c>
      <c r="J66" s="9">
        <v>33799</v>
      </c>
    </row>
    <row r="67" spans="1:10" x14ac:dyDescent="0.25">
      <c r="A67" s="10">
        <v>43963</v>
      </c>
      <c r="B67" s="11">
        <v>2020</v>
      </c>
      <c r="C67" s="11" t="s">
        <v>8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41993</v>
      </c>
      <c r="J67" s="14">
        <v>41993</v>
      </c>
    </row>
    <row r="68" spans="1:10" x14ac:dyDescent="0.25">
      <c r="A68" s="5">
        <v>43968</v>
      </c>
      <c r="B68" s="6">
        <v>2020</v>
      </c>
      <c r="C68" s="6" t="s">
        <v>8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36746</v>
      </c>
      <c r="J68" s="9">
        <v>36746</v>
      </c>
    </row>
    <row r="69" spans="1:10" x14ac:dyDescent="0.25">
      <c r="A69" s="10">
        <v>43952</v>
      </c>
      <c r="B69" s="11">
        <v>2020</v>
      </c>
      <c r="C69" s="11" t="s">
        <v>8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35803</v>
      </c>
      <c r="J69" s="14">
        <v>35803</v>
      </c>
    </row>
    <row r="70" spans="1:10" x14ac:dyDescent="0.25">
      <c r="A70" s="5">
        <v>43969</v>
      </c>
      <c r="B70" s="6">
        <v>2020</v>
      </c>
      <c r="C70" s="6" t="s">
        <v>8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39511</v>
      </c>
      <c r="J70" s="9">
        <v>39511</v>
      </c>
    </row>
    <row r="71" spans="1:10" x14ac:dyDescent="0.25">
      <c r="A71" s="10">
        <v>43971</v>
      </c>
      <c r="B71" s="11">
        <v>2020</v>
      </c>
      <c r="C71" s="11" t="s">
        <v>8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33925</v>
      </c>
      <c r="J71" s="14">
        <v>33925</v>
      </c>
    </row>
    <row r="72" spans="1:10" x14ac:dyDescent="0.25">
      <c r="A72" s="5">
        <v>43962</v>
      </c>
      <c r="B72" s="6">
        <v>2020</v>
      </c>
      <c r="C72" s="6" t="s">
        <v>8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40626</v>
      </c>
      <c r="J72" s="9">
        <v>40626</v>
      </c>
    </row>
    <row r="73" spans="1:10" x14ac:dyDescent="0.25">
      <c r="A73" s="10">
        <v>43963</v>
      </c>
      <c r="B73" s="11">
        <v>2020</v>
      </c>
      <c r="C73" s="11" t="s">
        <v>8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37610</v>
      </c>
      <c r="J73" s="14">
        <v>37610</v>
      </c>
    </row>
    <row r="74" spans="1:10" x14ac:dyDescent="0.25">
      <c r="A74" s="15">
        <v>43966</v>
      </c>
      <c r="B74" s="16">
        <v>2020</v>
      </c>
      <c r="C74" s="16" t="s">
        <v>8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41912</v>
      </c>
      <c r="J74" s="19">
        <v>41912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A383-B941-414C-A722-D9BB10030FCB}">
  <sheetPr codeName="Sheet6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43984</v>
      </c>
      <c r="B2" s="6">
        <v>2020</v>
      </c>
      <c r="C2" s="6" t="s">
        <v>32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30027</v>
      </c>
      <c r="J2" s="9">
        <v>30027</v>
      </c>
      <c r="L2" t="s">
        <v>29</v>
      </c>
      <c r="M2" s="1">
        <f>AVERAGE('June 2020'!$I$2:$I$74)</f>
        <v>34776.246575342462</v>
      </c>
    </row>
    <row r="3" spans="1:13" x14ac:dyDescent="0.25">
      <c r="A3" s="10">
        <v>43984</v>
      </c>
      <c r="B3" s="11">
        <v>2020</v>
      </c>
      <c r="C3" s="11" t="s">
        <v>32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38917</v>
      </c>
      <c r="J3" s="14">
        <v>38917</v>
      </c>
    </row>
    <row r="4" spans="1:13" x14ac:dyDescent="0.25">
      <c r="A4" s="5">
        <v>43986</v>
      </c>
      <c r="B4" s="6">
        <v>2020</v>
      </c>
      <c r="C4" s="6" t="s">
        <v>32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37653</v>
      </c>
      <c r="J4" s="9">
        <v>37653</v>
      </c>
    </row>
    <row r="5" spans="1:13" x14ac:dyDescent="0.25">
      <c r="A5" s="10">
        <v>43994</v>
      </c>
      <c r="B5" s="11">
        <v>2020</v>
      </c>
      <c r="C5" s="11" t="s">
        <v>32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39360</v>
      </c>
      <c r="J5" s="14">
        <v>39360</v>
      </c>
    </row>
    <row r="6" spans="1:13" x14ac:dyDescent="0.25">
      <c r="A6" s="5">
        <v>44004</v>
      </c>
      <c r="B6" s="6">
        <v>2020</v>
      </c>
      <c r="C6" s="6" t="s">
        <v>32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41353</v>
      </c>
      <c r="J6" s="9">
        <v>41353</v>
      </c>
    </row>
    <row r="7" spans="1:13" x14ac:dyDescent="0.25">
      <c r="A7" s="10">
        <v>44008</v>
      </c>
      <c r="B7" s="11">
        <v>2020</v>
      </c>
      <c r="C7" s="11" t="s">
        <v>32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30900</v>
      </c>
      <c r="J7" s="14">
        <v>30900</v>
      </c>
    </row>
    <row r="8" spans="1:13" x14ac:dyDescent="0.25">
      <c r="A8" s="5">
        <v>44010</v>
      </c>
      <c r="B8" s="6">
        <v>2020</v>
      </c>
      <c r="C8" s="6" t="s">
        <v>32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40227</v>
      </c>
      <c r="J8" s="9">
        <v>40227</v>
      </c>
    </row>
    <row r="9" spans="1:13" x14ac:dyDescent="0.25">
      <c r="A9" s="10">
        <v>44012</v>
      </c>
      <c r="B9" s="11">
        <v>2020</v>
      </c>
      <c r="C9" s="11" t="s">
        <v>32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35371</v>
      </c>
      <c r="J9" s="14">
        <v>35371</v>
      </c>
    </row>
    <row r="10" spans="1:13" x14ac:dyDescent="0.25">
      <c r="A10" s="5">
        <v>43984</v>
      </c>
      <c r="B10" s="6">
        <v>2020</v>
      </c>
      <c r="C10" s="6" t="s">
        <v>32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36015</v>
      </c>
      <c r="J10" s="9">
        <v>36015</v>
      </c>
    </row>
    <row r="11" spans="1:13" x14ac:dyDescent="0.25">
      <c r="A11" s="10">
        <v>43984</v>
      </c>
      <c r="B11" s="11">
        <v>2020</v>
      </c>
      <c r="C11" s="11" t="s">
        <v>32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38766</v>
      </c>
      <c r="J11" s="14">
        <v>77532</v>
      </c>
    </row>
    <row r="12" spans="1:13" x14ac:dyDescent="0.25">
      <c r="A12" s="5">
        <v>43984</v>
      </c>
      <c r="B12" s="6">
        <v>2020</v>
      </c>
      <c r="C12" s="6" t="s">
        <v>32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34091</v>
      </c>
      <c r="J12" s="9">
        <v>34091</v>
      </c>
    </row>
    <row r="13" spans="1:13" x14ac:dyDescent="0.25">
      <c r="A13" s="10">
        <v>43986</v>
      </c>
      <c r="B13" s="11">
        <v>2020</v>
      </c>
      <c r="C13" s="11" t="s">
        <v>32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28439</v>
      </c>
      <c r="J13" s="14">
        <v>28439</v>
      </c>
    </row>
    <row r="14" spans="1:13" x14ac:dyDescent="0.25">
      <c r="A14" s="5">
        <v>43987</v>
      </c>
      <c r="B14" s="6">
        <v>2020</v>
      </c>
      <c r="C14" s="6" t="s">
        <v>32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38151</v>
      </c>
      <c r="J14" s="9">
        <v>38151</v>
      </c>
    </row>
    <row r="15" spans="1:13" x14ac:dyDescent="0.25">
      <c r="A15" s="10">
        <v>43991</v>
      </c>
      <c r="B15" s="11">
        <v>2020</v>
      </c>
      <c r="C15" s="11" t="s">
        <v>32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34914</v>
      </c>
      <c r="J15" s="14">
        <v>34914</v>
      </c>
    </row>
    <row r="16" spans="1:13" x14ac:dyDescent="0.25">
      <c r="A16" s="5">
        <v>43996</v>
      </c>
      <c r="B16" s="6">
        <v>2020</v>
      </c>
      <c r="C16" s="6" t="s">
        <v>32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35705</v>
      </c>
      <c r="J16" s="9">
        <v>35705</v>
      </c>
    </row>
    <row r="17" spans="1:10" x14ac:dyDescent="0.25">
      <c r="A17" s="10">
        <v>43998</v>
      </c>
      <c r="B17" s="11">
        <v>2020</v>
      </c>
      <c r="C17" s="11" t="s">
        <v>32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29475</v>
      </c>
      <c r="J17" s="14">
        <v>29475</v>
      </c>
    </row>
    <row r="18" spans="1:10" x14ac:dyDescent="0.25">
      <c r="A18" s="5">
        <v>44001</v>
      </c>
      <c r="B18" s="6">
        <v>2020</v>
      </c>
      <c r="C18" s="6" t="s">
        <v>32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34733</v>
      </c>
      <c r="J18" s="9">
        <v>34733</v>
      </c>
    </row>
    <row r="19" spans="1:10" x14ac:dyDescent="0.25">
      <c r="A19" s="10">
        <v>44003</v>
      </c>
      <c r="B19" s="11">
        <v>2020</v>
      </c>
      <c r="C19" s="11" t="s">
        <v>32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33925</v>
      </c>
      <c r="J19" s="14">
        <v>33925</v>
      </c>
    </row>
    <row r="20" spans="1:10" x14ac:dyDescent="0.25">
      <c r="A20" s="5">
        <v>44005</v>
      </c>
      <c r="B20" s="6">
        <v>2020</v>
      </c>
      <c r="C20" s="6" t="s">
        <v>32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36434</v>
      </c>
      <c r="J20" s="9">
        <v>36434</v>
      </c>
    </row>
    <row r="21" spans="1:10" x14ac:dyDescent="0.25">
      <c r="A21" s="10">
        <v>44012</v>
      </c>
      <c r="B21" s="11">
        <v>2020</v>
      </c>
      <c r="C21" s="11" t="s">
        <v>32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31443</v>
      </c>
      <c r="J21" s="14">
        <v>31443</v>
      </c>
    </row>
    <row r="22" spans="1:10" x14ac:dyDescent="0.25">
      <c r="A22" s="5">
        <v>43984</v>
      </c>
      <c r="B22" s="6">
        <v>2020</v>
      </c>
      <c r="C22" s="6" t="s">
        <v>32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35519</v>
      </c>
      <c r="J22" s="9">
        <v>35519</v>
      </c>
    </row>
    <row r="23" spans="1:10" x14ac:dyDescent="0.25">
      <c r="A23" s="10">
        <v>43985</v>
      </c>
      <c r="B23" s="11">
        <v>2020</v>
      </c>
      <c r="C23" s="11" t="s">
        <v>32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31038</v>
      </c>
      <c r="J23" s="14">
        <v>31038</v>
      </c>
    </row>
    <row r="24" spans="1:10" x14ac:dyDescent="0.25">
      <c r="A24" s="5">
        <v>43986</v>
      </c>
      <c r="B24" s="6">
        <v>2020</v>
      </c>
      <c r="C24" s="6" t="s">
        <v>32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30297</v>
      </c>
      <c r="J24" s="9">
        <v>30297</v>
      </c>
    </row>
    <row r="25" spans="1:10" x14ac:dyDescent="0.25">
      <c r="A25" s="10">
        <v>43989</v>
      </c>
      <c r="B25" s="11">
        <v>2020</v>
      </c>
      <c r="C25" s="11" t="s">
        <v>32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28079</v>
      </c>
      <c r="J25" s="14">
        <v>28079</v>
      </c>
    </row>
    <row r="26" spans="1:10" x14ac:dyDescent="0.25">
      <c r="A26" s="5">
        <v>43994</v>
      </c>
      <c r="B26" s="6">
        <v>2020</v>
      </c>
      <c r="C26" s="6" t="s">
        <v>32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40132</v>
      </c>
      <c r="J26" s="9">
        <v>40132</v>
      </c>
    </row>
    <row r="27" spans="1:10" x14ac:dyDescent="0.25">
      <c r="A27" s="10">
        <v>44006</v>
      </c>
      <c r="B27" s="11">
        <v>2020</v>
      </c>
      <c r="C27" s="11" t="s">
        <v>32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35868</v>
      </c>
      <c r="J27" s="14">
        <v>71736</v>
      </c>
    </row>
    <row r="28" spans="1:10" x14ac:dyDescent="0.25">
      <c r="A28" s="5">
        <v>44006</v>
      </c>
      <c r="B28" s="6">
        <v>2020</v>
      </c>
      <c r="C28" s="6" t="s">
        <v>32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32904</v>
      </c>
      <c r="J28" s="9">
        <v>32904</v>
      </c>
    </row>
    <row r="29" spans="1:10" x14ac:dyDescent="0.25">
      <c r="A29" s="10">
        <v>44009</v>
      </c>
      <c r="B29" s="11">
        <v>2020</v>
      </c>
      <c r="C29" s="11" t="s">
        <v>32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30487</v>
      </c>
      <c r="J29" s="14">
        <v>30487</v>
      </c>
    </row>
    <row r="30" spans="1:10" x14ac:dyDescent="0.25">
      <c r="A30" s="5">
        <v>44011</v>
      </c>
      <c r="B30" s="6">
        <v>2020</v>
      </c>
      <c r="C30" s="6" t="s">
        <v>32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31820</v>
      </c>
      <c r="J30" s="9">
        <v>31820</v>
      </c>
    </row>
    <row r="31" spans="1:10" x14ac:dyDescent="0.25">
      <c r="A31" s="10">
        <v>43986</v>
      </c>
      <c r="B31" s="11">
        <v>2020</v>
      </c>
      <c r="C31" s="11" t="s">
        <v>32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37462</v>
      </c>
      <c r="J31" s="14">
        <v>37462</v>
      </c>
    </row>
    <row r="32" spans="1:10" x14ac:dyDescent="0.25">
      <c r="A32" s="5">
        <v>43988</v>
      </c>
      <c r="B32" s="6">
        <v>2020</v>
      </c>
      <c r="C32" s="6" t="s">
        <v>32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41072</v>
      </c>
      <c r="J32" s="9">
        <v>41072</v>
      </c>
    </row>
    <row r="33" spans="1:10" x14ac:dyDescent="0.25">
      <c r="A33" s="10">
        <v>43990</v>
      </c>
      <c r="B33" s="11">
        <v>2020</v>
      </c>
      <c r="C33" s="11" t="s">
        <v>32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37048</v>
      </c>
      <c r="J33" s="14">
        <v>37048</v>
      </c>
    </row>
    <row r="34" spans="1:10" x14ac:dyDescent="0.25">
      <c r="A34" s="5">
        <v>43992</v>
      </c>
      <c r="B34" s="6">
        <v>2020</v>
      </c>
      <c r="C34" s="6" t="s">
        <v>32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34145</v>
      </c>
      <c r="J34" s="9">
        <v>34145</v>
      </c>
    </row>
    <row r="35" spans="1:10" x14ac:dyDescent="0.25">
      <c r="A35" s="10">
        <v>43994</v>
      </c>
      <c r="B35" s="11">
        <v>2020</v>
      </c>
      <c r="C35" s="11" t="s">
        <v>32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33948</v>
      </c>
      <c r="J35" s="14">
        <v>33948</v>
      </c>
    </row>
    <row r="36" spans="1:10" x14ac:dyDescent="0.25">
      <c r="A36" s="5">
        <v>43995</v>
      </c>
      <c r="B36" s="6">
        <v>2020</v>
      </c>
      <c r="C36" s="6" t="s">
        <v>32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39082</v>
      </c>
      <c r="J36" s="9">
        <v>39082</v>
      </c>
    </row>
    <row r="37" spans="1:10" x14ac:dyDescent="0.25">
      <c r="A37" s="10">
        <v>43996</v>
      </c>
      <c r="B37" s="11">
        <v>2020</v>
      </c>
      <c r="C37" s="11" t="s">
        <v>32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39256</v>
      </c>
      <c r="J37" s="14">
        <v>39256</v>
      </c>
    </row>
    <row r="38" spans="1:10" x14ac:dyDescent="0.25">
      <c r="A38" s="5">
        <v>44006</v>
      </c>
      <c r="B38" s="6">
        <v>2020</v>
      </c>
      <c r="C38" s="6" t="s">
        <v>32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36654</v>
      </c>
      <c r="J38" s="9">
        <v>36654</v>
      </c>
    </row>
    <row r="39" spans="1:10" x14ac:dyDescent="0.25">
      <c r="A39" s="10">
        <v>44011</v>
      </c>
      <c r="B39" s="11">
        <v>2020</v>
      </c>
      <c r="C39" s="11" t="s">
        <v>32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28202</v>
      </c>
      <c r="J39" s="14">
        <v>28202</v>
      </c>
    </row>
    <row r="40" spans="1:10" x14ac:dyDescent="0.25">
      <c r="A40" s="5">
        <v>43984</v>
      </c>
      <c r="B40" s="6">
        <v>2020</v>
      </c>
      <c r="C40" s="6" t="s">
        <v>32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39896</v>
      </c>
      <c r="J40" s="9">
        <v>39896</v>
      </c>
    </row>
    <row r="41" spans="1:10" x14ac:dyDescent="0.25">
      <c r="A41" s="10">
        <v>43984</v>
      </c>
      <c r="B41" s="11">
        <v>2020</v>
      </c>
      <c r="C41" s="11" t="s">
        <v>32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28528</v>
      </c>
      <c r="J41" s="14">
        <v>28528</v>
      </c>
    </row>
    <row r="42" spans="1:10" x14ac:dyDescent="0.25">
      <c r="A42" s="5">
        <v>43988</v>
      </c>
      <c r="B42" s="6">
        <v>2020</v>
      </c>
      <c r="C42" s="6" t="s">
        <v>32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39412</v>
      </c>
      <c r="J42" s="9">
        <v>39412</v>
      </c>
    </row>
    <row r="43" spans="1:10" x14ac:dyDescent="0.25">
      <c r="A43" s="10">
        <v>43996</v>
      </c>
      <c r="B43" s="11">
        <v>2020</v>
      </c>
      <c r="C43" s="11" t="s">
        <v>32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40280</v>
      </c>
      <c r="J43" s="14">
        <v>40280</v>
      </c>
    </row>
    <row r="44" spans="1:10" x14ac:dyDescent="0.25">
      <c r="A44" s="5">
        <v>44003</v>
      </c>
      <c r="B44" s="6">
        <v>2020</v>
      </c>
      <c r="C44" s="6" t="s">
        <v>32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30130</v>
      </c>
      <c r="J44" s="9">
        <v>30130</v>
      </c>
    </row>
    <row r="45" spans="1:10" x14ac:dyDescent="0.25">
      <c r="A45" s="10">
        <v>44003</v>
      </c>
      <c r="B45" s="11">
        <v>2020</v>
      </c>
      <c r="C45" s="11" t="s">
        <v>32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31650</v>
      </c>
      <c r="J45" s="14">
        <v>31650</v>
      </c>
    </row>
    <row r="46" spans="1:10" x14ac:dyDescent="0.25">
      <c r="A46" s="5">
        <v>44005</v>
      </c>
      <c r="B46" s="6">
        <v>2020</v>
      </c>
      <c r="C46" s="6" t="s">
        <v>32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38525</v>
      </c>
      <c r="J46" s="9">
        <v>38525</v>
      </c>
    </row>
    <row r="47" spans="1:10" x14ac:dyDescent="0.25">
      <c r="A47" s="10">
        <v>43983</v>
      </c>
      <c r="B47" s="11">
        <v>2020</v>
      </c>
      <c r="C47" s="11" t="s">
        <v>32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31705</v>
      </c>
      <c r="J47" s="14">
        <v>31705</v>
      </c>
    </row>
    <row r="48" spans="1:10" x14ac:dyDescent="0.25">
      <c r="A48" s="5">
        <v>43984</v>
      </c>
      <c r="B48" s="6">
        <v>2020</v>
      </c>
      <c r="C48" s="6" t="s">
        <v>32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38847</v>
      </c>
      <c r="J48" s="9">
        <v>38847</v>
      </c>
    </row>
    <row r="49" spans="1:10" x14ac:dyDescent="0.25">
      <c r="A49" s="10">
        <v>43994</v>
      </c>
      <c r="B49" s="11">
        <v>2020</v>
      </c>
      <c r="C49" s="11" t="s">
        <v>32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29917</v>
      </c>
      <c r="J49" s="14">
        <v>29917</v>
      </c>
    </row>
    <row r="50" spans="1:10" x14ac:dyDescent="0.25">
      <c r="A50" s="5">
        <v>43994</v>
      </c>
      <c r="B50" s="6">
        <v>2020</v>
      </c>
      <c r="C50" s="6" t="s">
        <v>32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30761</v>
      </c>
      <c r="J50" s="9">
        <v>30761</v>
      </c>
    </row>
    <row r="51" spans="1:10" x14ac:dyDescent="0.25">
      <c r="A51" s="10">
        <v>43994</v>
      </c>
      <c r="B51" s="11">
        <v>2020</v>
      </c>
      <c r="C51" s="11" t="s">
        <v>32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31357</v>
      </c>
      <c r="J51" s="14">
        <v>31357</v>
      </c>
    </row>
    <row r="52" spans="1:10" x14ac:dyDescent="0.25">
      <c r="A52" s="5">
        <v>43998</v>
      </c>
      <c r="B52" s="6">
        <v>2020</v>
      </c>
      <c r="C52" s="6" t="s">
        <v>32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36030</v>
      </c>
      <c r="J52" s="9">
        <v>36030</v>
      </c>
    </row>
    <row r="53" spans="1:10" x14ac:dyDescent="0.25">
      <c r="A53" s="10">
        <v>44005</v>
      </c>
      <c r="B53" s="11">
        <v>2020</v>
      </c>
      <c r="C53" s="11" t="s">
        <v>32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36674</v>
      </c>
      <c r="J53" s="14">
        <v>36674</v>
      </c>
    </row>
    <row r="54" spans="1:10" x14ac:dyDescent="0.25">
      <c r="A54" s="5">
        <v>44010</v>
      </c>
      <c r="B54" s="6">
        <v>2020</v>
      </c>
      <c r="C54" s="6" t="s">
        <v>32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34716</v>
      </c>
      <c r="J54" s="9">
        <v>34716</v>
      </c>
    </row>
    <row r="55" spans="1:10" x14ac:dyDescent="0.25">
      <c r="A55" s="10">
        <v>44011</v>
      </c>
      <c r="B55" s="11">
        <v>2020</v>
      </c>
      <c r="C55" s="11" t="s">
        <v>32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38558</v>
      </c>
      <c r="J55" s="14">
        <v>38558</v>
      </c>
    </row>
    <row r="56" spans="1:10" x14ac:dyDescent="0.25">
      <c r="A56" s="5">
        <v>43994</v>
      </c>
      <c r="B56" s="6">
        <v>2020</v>
      </c>
      <c r="C56" s="6" t="s">
        <v>32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31899</v>
      </c>
      <c r="J56" s="9">
        <v>31899</v>
      </c>
    </row>
    <row r="57" spans="1:10" x14ac:dyDescent="0.25">
      <c r="A57" s="10">
        <v>43994</v>
      </c>
      <c r="B57" s="11">
        <v>2020</v>
      </c>
      <c r="C57" s="11" t="s">
        <v>32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31182</v>
      </c>
      <c r="J57" s="14">
        <v>31182</v>
      </c>
    </row>
    <row r="58" spans="1:10" x14ac:dyDescent="0.25">
      <c r="A58" s="5">
        <v>43994</v>
      </c>
      <c r="B58" s="6">
        <v>2020</v>
      </c>
      <c r="C58" s="6" t="s">
        <v>32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41644</v>
      </c>
      <c r="J58" s="9">
        <v>41644</v>
      </c>
    </row>
    <row r="59" spans="1:10" x14ac:dyDescent="0.25">
      <c r="A59" s="10">
        <v>43995</v>
      </c>
      <c r="B59" s="11">
        <v>2020</v>
      </c>
      <c r="C59" s="11" t="s">
        <v>32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38364</v>
      </c>
      <c r="J59" s="14">
        <v>38364</v>
      </c>
    </row>
    <row r="60" spans="1:10" x14ac:dyDescent="0.25">
      <c r="A60" s="5">
        <v>43998</v>
      </c>
      <c r="B60" s="6">
        <v>2020</v>
      </c>
      <c r="C60" s="6" t="s">
        <v>32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31227</v>
      </c>
      <c r="J60" s="9">
        <v>31227</v>
      </c>
    </row>
    <row r="61" spans="1:10" x14ac:dyDescent="0.25">
      <c r="A61" s="10">
        <v>43983</v>
      </c>
      <c r="B61" s="11">
        <v>2020</v>
      </c>
      <c r="C61" s="11" t="s">
        <v>32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37240</v>
      </c>
      <c r="J61" s="14">
        <v>37240</v>
      </c>
    </row>
    <row r="62" spans="1:10" x14ac:dyDescent="0.25">
      <c r="A62" s="5">
        <v>43984</v>
      </c>
      <c r="B62" s="6">
        <v>2020</v>
      </c>
      <c r="C62" s="6" t="s">
        <v>32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31060</v>
      </c>
      <c r="J62" s="9">
        <v>31060</v>
      </c>
    </row>
    <row r="63" spans="1:10" x14ac:dyDescent="0.25">
      <c r="A63" s="10">
        <v>43987</v>
      </c>
      <c r="B63" s="11">
        <v>2020</v>
      </c>
      <c r="C63" s="11" t="s">
        <v>32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28158</v>
      </c>
      <c r="J63" s="14">
        <v>28158</v>
      </c>
    </row>
    <row r="64" spans="1:10" x14ac:dyDescent="0.25">
      <c r="A64" s="5">
        <v>43996</v>
      </c>
      <c r="B64" s="6">
        <v>2020</v>
      </c>
      <c r="C64" s="6" t="s">
        <v>32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31671</v>
      </c>
      <c r="J64" s="9">
        <v>31671</v>
      </c>
    </row>
    <row r="65" spans="1:10" x14ac:dyDescent="0.25">
      <c r="A65" s="10">
        <v>44007</v>
      </c>
      <c r="B65" s="11">
        <v>2020</v>
      </c>
      <c r="C65" s="11" t="s">
        <v>32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33843</v>
      </c>
      <c r="J65" s="14">
        <v>33843</v>
      </c>
    </row>
    <row r="66" spans="1:10" x14ac:dyDescent="0.25">
      <c r="A66" s="5">
        <v>43984</v>
      </c>
      <c r="B66" s="6">
        <v>2020</v>
      </c>
      <c r="C66" s="6" t="s">
        <v>32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39324</v>
      </c>
      <c r="J66" s="9">
        <v>39324</v>
      </c>
    </row>
    <row r="67" spans="1:10" x14ac:dyDescent="0.25">
      <c r="A67" s="10">
        <v>43994</v>
      </c>
      <c r="B67" s="11">
        <v>2020</v>
      </c>
      <c r="C67" s="11" t="s">
        <v>32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29402</v>
      </c>
      <c r="J67" s="14">
        <v>29402</v>
      </c>
    </row>
    <row r="68" spans="1:10" x14ac:dyDescent="0.25">
      <c r="A68" s="5">
        <v>43999</v>
      </c>
      <c r="B68" s="6">
        <v>2020</v>
      </c>
      <c r="C68" s="6" t="s">
        <v>32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41475</v>
      </c>
      <c r="J68" s="9">
        <v>41475</v>
      </c>
    </row>
    <row r="69" spans="1:10" x14ac:dyDescent="0.25">
      <c r="A69" s="10">
        <v>43983</v>
      </c>
      <c r="B69" s="11">
        <v>2020</v>
      </c>
      <c r="C69" s="11" t="s">
        <v>32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40762</v>
      </c>
      <c r="J69" s="14">
        <v>40762</v>
      </c>
    </row>
    <row r="70" spans="1:10" x14ac:dyDescent="0.25">
      <c r="A70" s="5">
        <v>44000</v>
      </c>
      <c r="B70" s="6">
        <v>2020</v>
      </c>
      <c r="C70" s="6" t="s">
        <v>32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29804</v>
      </c>
      <c r="J70" s="9">
        <v>29804</v>
      </c>
    </row>
    <row r="71" spans="1:10" x14ac:dyDescent="0.25">
      <c r="A71" s="10">
        <v>44002</v>
      </c>
      <c r="B71" s="11">
        <v>2020</v>
      </c>
      <c r="C71" s="11" t="s">
        <v>32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30025</v>
      </c>
      <c r="J71" s="14">
        <v>30025</v>
      </c>
    </row>
    <row r="72" spans="1:10" x14ac:dyDescent="0.25">
      <c r="A72" s="5">
        <v>43993</v>
      </c>
      <c r="B72" s="6">
        <v>2020</v>
      </c>
      <c r="C72" s="6" t="s">
        <v>32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33756</v>
      </c>
      <c r="J72" s="9">
        <v>33756</v>
      </c>
    </row>
    <row r="73" spans="1:10" x14ac:dyDescent="0.25">
      <c r="A73" s="10">
        <v>43994</v>
      </c>
      <c r="B73" s="11">
        <v>2020</v>
      </c>
      <c r="C73" s="11" t="s">
        <v>32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30743</v>
      </c>
      <c r="J73" s="14">
        <v>30743</v>
      </c>
    </row>
    <row r="74" spans="1:10" x14ac:dyDescent="0.25">
      <c r="A74" s="15">
        <v>43997</v>
      </c>
      <c r="B74" s="16">
        <v>2020</v>
      </c>
      <c r="C74" s="16" t="s">
        <v>32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41189</v>
      </c>
      <c r="J74" s="19">
        <v>41189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41B29-1695-4541-9075-30D6F1A9A424}">
  <sheetPr codeName="Sheet7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44014</v>
      </c>
      <c r="B2" s="6">
        <v>2020</v>
      </c>
      <c r="C2" s="6" t="s">
        <v>33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38382</v>
      </c>
      <c r="J2" s="9">
        <v>38382</v>
      </c>
      <c r="L2" t="s">
        <v>29</v>
      </c>
      <c r="M2" s="1">
        <f>AVERAGE('July 2020'!$I$2:$I$74)</f>
        <v>35679.383561643837</v>
      </c>
    </row>
    <row r="3" spans="1:13" x14ac:dyDescent="0.25">
      <c r="A3" s="10">
        <v>44014</v>
      </c>
      <c r="B3" s="11">
        <v>2020</v>
      </c>
      <c r="C3" s="11" t="s">
        <v>33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35831</v>
      </c>
      <c r="J3" s="14">
        <v>35831</v>
      </c>
    </row>
    <row r="4" spans="1:13" x14ac:dyDescent="0.25">
      <c r="A4" s="5">
        <v>44016</v>
      </c>
      <c r="B4" s="6">
        <v>2020</v>
      </c>
      <c r="C4" s="6" t="s">
        <v>33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37959</v>
      </c>
      <c r="J4" s="9">
        <v>37959</v>
      </c>
    </row>
    <row r="5" spans="1:13" x14ac:dyDescent="0.25">
      <c r="A5" s="10">
        <v>44024</v>
      </c>
      <c r="B5" s="11">
        <v>2020</v>
      </c>
      <c r="C5" s="11" t="s">
        <v>33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31134</v>
      </c>
      <c r="J5" s="14">
        <v>31134</v>
      </c>
    </row>
    <row r="6" spans="1:13" x14ac:dyDescent="0.25">
      <c r="A6" s="5">
        <v>44034</v>
      </c>
      <c r="B6" s="6">
        <v>2020</v>
      </c>
      <c r="C6" s="6" t="s">
        <v>33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35743</v>
      </c>
      <c r="J6" s="9">
        <v>35743</v>
      </c>
    </row>
    <row r="7" spans="1:13" x14ac:dyDescent="0.25">
      <c r="A7" s="10">
        <v>44038</v>
      </c>
      <c r="B7" s="11">
        <v>2020</v>
      </c>
      <c r="C7" s="11" t="s">
        <v>33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38308</v>
      </c>
      <c r="J7" s="14">
        <v>38308</v>
      </c>
    </row>
    <row r="8" spans="1:13" x14ac:dyDescent="0.25">
      <c r="A8" s="5">
        <v>44040</v>
      </c>
      <c r="B8" s="6">
        <v>2020</v>
      </c>
      <c r="C8" s="6" t="s">
        <v>33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34087</v>
      </c>
      <c r="J8" s="9">
        <v>34087</v>
      </c>
    </row>
    <row r="9" spans="1:13" x14ac:dyDescent="0.25">
      <c r="A9" s="10">
        <v>44043</v>
      </c>
      <c r="B9" s="11">
        <v>2020</v>
      </c>
      <c r="C9" s="11" t="s">
        <v>33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37947</v>
      </c>
      <c r="J9" s="14">
        <v>37947</v>
      </c>
    </row>
    <row r="10" spans="1:13" x14ac:dyDescent="0.25">
      <c r="A10" s="5">
        <v>44014</v>
      </c>
      <c r="B10" s="6">
        <v>2020</v>
      </c>
      <c r="C10" s="6" t="s">
        <v>33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35288</v>
      </c>
      <c r="J10" s="9">
        <v>35288</v>
      </c>
    </row>
    <row r="11" spans="1:13" x14ac:dyDescent="0.25">
      <c r="A11" s="10">
        <v>44014</v>
      </c>
      <c r="B11" s="11">
        <v>2020</v>
      </c>
      <c r="C11" s="11" t="s">
        <v>33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35309</v>
      </c>
      <c r="J11" s="14">
        <v>70618</v>
      </c>
    </row>
    <row r="12" spans="1:13" x14ac:dyDescent="0.25">
      <c r="A12" s="5">
        <v>44014</v>
      </c>
      <c r="B12" s="6">
        <v>2020</v>
      </c>
      <c r="C12" s="6" t="s">
        <v>33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35953</v>
      </c>
      <c r="J12" s="9">
        <v>35953</v>
      </c>
    </row>
    <row r="13" spans="1:13" x14ac:dyDescent="0.25">
      <c r="A13" s="10">
        <v>44016</v>
      </c>
      <c r="B13" s="11">
        <v>2020</v>
      </c>
      <c r="C13" s="11" t="s">
        <v>33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38576</v>
      </c>
      <c r="J13" s="14">
        <v>38576</v>
      </c>
    </row>
    <row r="14" spans="1:13" x14ac:dyDescent="0.25">
      <c r="A14" s="5">
        <v>44017</v>
      </c>
      <c r="B14" s="6">
        <v>2020</v>
      </c>
      <c r="C14" s="6" t="s">
        <v>33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38118</v>
      </c>
      <c r="J14" s="9">
        <v>38118</v>
      </c>
    </row>
    <row r="15" spans="1:13" x14ac:dyDescent="0.25">
      <c r="A15" s="10">
        <v>44021</v>
      </c>
      <c r="B15" s="11">
        <v>2020</v>
      </c>
      <c r="C15" s="11" t="s">
        <v>33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33204</v>
      </c>
      <c r="J15" s="14">
        <v>33204</v>
      </c>
    </row>
    <row r="16" spans="1:13" x14ac:dyDescent="0.25">
      <c r="A16" s="5">
        <v>44026</v>
      </c>
      <c r="B16" s="6">
        <v>2020</v>
      </c>
      <c r="C16" s="6" t="s">
        <v>33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34187</v>
      </c>
      <c r="J16" s="9">
        <v>34187</v>
      </c>
    </row>
    <row r="17" spans="1:10" x14ac:dyDescent="0.25">
      <c r="A17" s="10">
        <v>44028</v>
      </c>
      <c r="B17" s="11">
        <v>2020</v>
      </c>
      <c r="C17" s="11" t="s">
        <v>33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33611</v>
      </c>
      <c r="J17" s="14">
        <v>33611</v>
      </c>
    </row>
    <row r="18" spans="1:10" x14ac:dyDescent="0.25">
      <c r="A18" s="5">
        <v>44031</v>
      </c>
      <c r="B18" s="6">
        <v>2020</v>
      </c>
      <c r="C18" s="6" t="s">
        <v>33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39460</v>
      </c>
      <c r="J18" s="9">
        <v>39460</v>
      </c>
    </row>
    <row r="19" spans="1:10" x14ac:dyDescent="0.25">
      <c r="A19" s="10">
        <v>44033</v>
      </c>
      <c r="B19" s="11">
        <v>2020</v>
      </c>
      <c r="C19" s="11" t="s">
        <v>33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34893</v>
      </c>
      <c r="J19" s="14">
        <v>34893</v>
      </c>
    </row>
    <row r="20" spans="1:10" x14ac:dyDescent="0.25">
      <c r="A20" s="5">
        <v>44035</v>
      </c>
      <c r="B20" s="6">
        <v>2020</v>
      </c>
      <c r="C20" s="6" t="s">
        <v>33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37987</v>
      </c>
      <c r="J20" s="9">
        <v>37987</v>
      </c>
    </row>
    <row r="21" spans="1:10" x14ac:dyDescent="0.25">
      <c r="A21" s="10">
        <v>44042</v>
      </c>
      <c r="B21" s="11">
        <v>2020</v>
      </c>
      <c r="C21" s="11" t="s">
        <v>33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35432</v>
      </c>
      <c r="J21" s="14">
        <v>35432</v>
      </c>
    </row>
    <row r="22" spans="1:10" x14ac:dyDescent="0.25">
      <c r="A22" s="5">
        <v>44014</v>
      </c>
      <c r="B22" s="6">
        <v>2020</v>
      </c>
      <c r="C22" s="6" t="s">
        <v>33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32595</v>
      </c>
      <c r="J22" s="9">
        <v>32595</v>
      </c>
    </row>
    <row r="23" spans="1:10" x14ac:dyDescent="0.25">
      <c r="A23" s="10">
        <v>44015</v>
      </c>
      <c r="B23" s="11">
        <v>2020</v>
      </c>
      <c r="C23" s="11" t="s">
        <v>33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39663</v>
      </c>
      <c r="J23" s="14">
        <v>39663</v>
      </c>
    </row>
    <row r="24" spans="1:10" x14ac:dyDescent="0.25">
      <c r="A24" s="5">
        <v>44016</v>
      </c>
      <c r="B24" s="6">
        <v>2020</v>
      </c>
      <c r="C24" s="6" t="s">
        <v>33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35046</v>
      </c>
      <c r="J24" s="9">
        <v>35046</v>
      </c>
    </row>
    <row r="25" spans="1:10" x14ac:dyDescent="0.25">
      <c r="A25" s="10">
        <v>44019</v>
      </c>
      <c r="B25" s="11">
        <v>2020</v>
      </c>
      <c r="C25" s="11" t="s">
        <v>33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36520</v>
      </c>
      <c r="J25" s="14">
        <v>36520</v>
      </c>
    </row>
    <row r="26" spans="1:10" x14ac:dyDescent="0.25">
      <c r="A26" s="5">
        <v>44024</v>
      </c>
      <c r="B26" s="6">
        <v>2020</v>
      </c>
      <c r="C26" s="6" t="s">
        <v>33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32927</v>
      </c>
      <c r="J26" s="9">
        <v>32927</v>
      </c>
    </row>
    <row r="27" spans="1:10" x14ac:dyDescent="0.25">
      <c r="A27" s="10">
        <v>44036</v>
      </c>
      <c r="B27" s="11">
        <v>2020</v>
      </c>
      <c r="C27" s="11" t="s">
        <v>33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39421</v>
      </c>
      <c r="J27" s="14">
        <v>78842</v>
      </c>
    </row>
    <row r="28" spans="1:10" x14ac:dyDescent="0.25">
      <c r="A28" s="5">
        <v>44036</v>
      </c>
      <c r="B28" s="6">
        <v>2020</v>
      </c>
      <c r="C28" s="6" t="s">
        <v>33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31931</v>
      </c>
      <c r="J28" s="9">
        <v>31931</v>
      </c>
    </row>
    <row r="29" spans="1:10" x14ac:dyDescent="0.25">
      <c r="A29" s="10">
        <v>44039</v>
      </c>
      <c r="B29" s="11">
        <v>2020</v>
      </c>
      <c r="C29" s="11" t="s">
        <v>33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33187</v>
      </c>
      <c r="J29" s="14">
        <v>33187</v>
      </c>
    </row>
    <row r="30" spans="1:10" x14ac:dyDescent="0.25">
      <c r="A30" s="5">
        <v>44041</v>
      </c>
      <c r="B30" s="6">
        <v>2020</v>
      </c>
      <c r="C30" s="6" t="s">
        <v>33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36970</v>
      </c>
      <c r="J30" s="9">
        <v>36970</v>
      </c>
    </row>
    <row r="31" spans="1:10" x14ac:dyDescent="0.25">
      <c r="A31" s="10">
        <v>44016</v>
      </c>
      <c r="B31" s="11">
        <v>2020</v>
      </c>
      <c r="C31" s="11" t="s">
        <v>33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34472</v>
      </c>
      <c r="J31" s="14">
        <v>34472</v>
      </c>
    </row>
    <row r="32" spans="1:10" x14ac:dyDescent="0.25">
      <c r="A32" s="5">
        <v>44018</v>
      </c>
      <c r="B32" s="6">
        <v>2020</v>
      </c>
      <c r="C32" s="6" t="s">
        <v>33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31823</v>
      </c>
      <c r="J32" s="9">
        <v>31823</v>
      </c>
    </row>
    <row r="33" spans="1:10" x14ac:dyDescent="0.25">
      <c r="A33" s="10">
        <v>44020</v>
      </c>
      <c r="B33" s="11">
        <v>2020</v>
      </c>
      <c r="C33" s="11" t="s">
        <v>33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39852</v>
      </c>
      <c r="J33" s="14">
        <v>39852</v>
      </c>
    </row>
    <row r="34" spans="1:10" x14ac:dyDescent="0.25">
      <c r="A34" s="5">
        <v>44022</v>
      </c>
      <c r="B34" s="6">
        <v>2020</v>
      </c>
      <c r="C34" s="6" t="s">
        <v>33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32963</v>
      </c>
      <c r="J34" s="9">
        <v>32963</v>
      </c>
    </row>
    <row r="35" spans="1:10" x14ac:dyDescent="0.25">
      <c r="A35" s="10">
        <v>44024</v>
      </c>
      <c r="B35" s="11">
        <v>2020</v>
      </c>
      <c r="C35" s="11" t="s">
        <v>33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34051</v>
      </c>
      <c r="J35" s="14">
        <v>34051</v>
      </c>
    </row>
    <row r="36" spans="1:10" x14ac:dyDescent="0.25">
      <c r="A36" s="5">
        <v>44025</v>
      </c>
      <c r="B36" s="6">
        <v>2020</v>
      </c>
      <c r="C36" s="6" t="s">
        <v>33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32756</v>
      </c>
      <c r="J36" s="9">
        <v>32756</v>
      </c>
    </row>
    <row r="37" spans="1:10" x14ac:dyDescent="0.25">
      <c r="A37" s="10">
        <v>44026</v>
      </c>
      <c r="B37" s="11">
        <v>2020</v>
      </c>
      <c r="C37" s="11" t="s">
        <v>33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32844</v>
      </c>
      <c r="J37" s="14">
        <v>32844</v>
      </c>
    </row>
    <row r="38" spans="1:10" x14ac:dyDescent="0.25">
      <c r="A38" s="5">
        <v>44036</v>
      </c>
      <c r="B38" s="6">
        <v>2020</v>
      </c>
      <c r="C38" s="6" t="s">
        <v>33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34697</v>
      </c>
      <c r="J38" s="9">
        <v>34697</v>
      </c>
    </row>
    <row r="39" spans="1:10" x14ac:dyDescent="0.25">
      <c r="A39" s="10">
        <v>44041</v>
      </c>
      <c r="B39" s="11">
        <v>2020</v>
      </c>
      <c r="C39" s="11" t="s">
        <v>33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34866</v>
      </c>
      <c r="J39" s="14">
        <v>34866</v>
      </c>
    </row>
    <row r="40" spans="1:10" x14ac:dyDescent="0.25">
      <c r="A40" s="5">
        <v>44014</v>
      </c>
      <c r="B40" s="6">
        <v>2020</v>
      </c>
      <c r="C40" s="6" t="s">
        <v>33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37833</v>
      </c>
      <c r="J40" s="9">
        <v>37833</v>
      </c>
    </row>
    <row r="41" spans="1:10" x14ac:dyDescent="0.25">
      <c r="A41" s="10">
        <v>44014</v>
      </c>
      <c r="B41" s="11">
        <v>2020</v>
      </c>
      <c r="C41" s="11" t="s">
        <v>33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38983</v>
      </c>
      <c r="J41" s="14">
        <v>38983</v>
      </c>
    </row>
    <row r="42" spans="1:10" x14ac:dyDescent="0.25">
      <c r="A42" s="5">
        <v>44018</v>
      </c>
      <c r="B42" s="6">
        <v>2020</v>
      </c>
      <c r="C42" s="6" t="s">
        <v>33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36315</v>
      </c>
      <c r="J42" s="9">
        <v>36315</v>
      </c>
    </row>
    <row r="43" spans="1:10" x14ac:dyDescent="0.25">
      <c r="A43" s="10">
        <v>44026</v>
      </c>
      <c r="B43" s="11">
        <v>2020</v>
      </c>
      <c r="C43" s="11" t="s">
        <v>33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32979</v>
      </c>
      <c r="J43" s="14">
        <v>32979</v>
      </c>
    </row>
    <row r="44" spans="1:10" x14ac:dyDescent="0.25">
      <c r="A44" s="5">
        <v>44033</v>
      </c>
      <c r="B44" s="6">
        <v>2020</v>
      </c>
      <c r="C44" s="6" t="s">
        <v>33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37356</v>
      </c>
      <c r="J44" s="9">
        <v>37356</v>
      </c>
    </row>
    <row r="45" spans="1:10" x14ac:dyDescent="0.25">
      <c r="A45" s="10">
        <v>44033</v>
      </c>
      <c r="B45" s="11">
        <v>2020</v>
      </c>
      <c r="C45" s="11" t="s">
        <v>33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38609</v>
      </c>
      <c r="J45" s="14">
        <v>38609</v>
      </c>
    </row>
    <row r="46" spans="1:10" x14ac:dyDescent="0.25">
      <c r="A46" s="5">
        <v>44035</v>
      </c>
      <c r="B46" s="6">
        <v>2020</v>
      </c>
      <c r="C46" s="6" t="s">
        <v>33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39008</v>
      </c>
      <c r="J46" s="9">
        <v>39008</v>
      </c>
    </row>
    <row r="47" spans="1:10" x14ac:dyDescent="0.25">
      <c r="A47" s="10">
        <v>44013</v>
      </c>
      <c r="B47" s="11">
        <v>2020</v>
      </c>
      <c r="C47" s="11" t="s">
        <v>33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39136</v>
      </c>
      <c r="J47" s="14">
        <v>39136</v>
      </c>
    </row>
    <row r="48" spans="1:10" x14ac:dyDescent="0.25">
      <c r="A48" s="5">
        <v>44014</v>
      </c>
      <c r="B48" s="6">
        <v>2020</v>
      </c>
      <c r="C48" s="6" t="s">
        <v>33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39032</v>
      </c>
      <c r="J48" s="9">
        <v>39032</v>
      </c>
    </row>
    <row r="49" spans="1:10" x14ac:dyDescent="0.25">
      <c r="A49" s="10">
        <v>44024</v>
      </c>
      <c r="B49" s="11">
        <v>2020</v>
      </c>
      <c r="C49" s="11" t="s">
        <v>33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38017</v>
      </c>
      <c r="J49" s="14">
        <v>38017</v>
      </c>
    </row>
    <row r="50" spans="1:10" x14ac:dyDescent="0.25">
      <c r="A50" s="5">
        <v>44024</v>
      </c>
      <c r="B50" s="6">
        <v>2020</v>
      </c>
      <c r="C50" s="6" t="s">
        <v>33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36982</v>
      </c>
      <c r="J50" s="9">
        <v>36982</v>
      </c>
    </row>
    <row r="51" spans="1:10" x14ac:dyDescent="0.25">
      <c r="A51" s="10">
        <v>44024</v>
      </c>
      <c r="B51" s="11">
        <v>2020</v>
      </c>
      <c r="C51" s="11" t="s">
        <v>33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31928</v>
      </c>
      <c r="J51" s="14">
        <v>31928</v>
      </c>
    </row>
    <row r="52" spans="1:10" x14ac:dyDescent="0.25">
      <c r="A52" s="5">
        <v>44028</v>
      </c>
      <c r="B52" s="6">
        <v>2020</v>
      </c>
      <c r="C52" s="6" t="s">
        <v>33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32241</v>
      </c>
      <c r="J52" s="9">
        <v>32241</v>
      </c>
    </row>
    <row r="53" spans="1:10" x14ac:dyDescent="0.25">
      <c r="A53" s="10">
        <v>44035</v>
      </c>
      <c r="B53" s="11">
        <v>2020</v>
      </c>
      <c r="C53" s="11" t="s">
        <v>33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33313</v>
      </c>
      <c r="J53" s="14">
        <v>33313</v>
      </c>
    </row>
    <row r="54" spans="1:10" x14ac:dyDescent="0.25">
      <c r="A54" s="5">
        <v>44040</v>
      </c>
      <c r="B54" s="6">
        <v>2020</v>
      </c>
      <c r="C54" s="6" t="s">
        <v>33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37007</v>
      </c>
      <c r="J54" s="9">
        <v>37007</v>
      </c>
    </row>
    <row r="55" spans="1:10" x14ac:dyDescent="0.25">
      <c r="A55" s="10">
        <v>44041</v>
      </c>
      <c r="B55" s="11">
        <v>2020</v>
      </c>
      <c r="C55" s="11" t="s">
        <v>33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36166</v>
      </c>
      <c r="J55" s="14">
        <v>36166</v>
      </c>
    </row>
    <row r="56" spans="1:10" x14ac:dyDescent="0.25">
      <c r="A56" s="5">
        <v>44024</v>
      </c>
      <c r="B56" s="6">
        <v>2020</v>
      </c>
      <c r="C56" s="6" t="s">
        <v>33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36185</v>
      </c>
      <c r="J56" s="9">
        <v>36185</v>
      </c>
    </row>
    <row r="57" spans="1:10" x14ac:dyDescent="0.25">
      <c r="A57" s="10">
        <v>44024</v>
      </c>
      <c r="B57" s="11">
        <v>2020</v>
      </c>
      <c r="C57" s="11" t="s">
        <v>33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31461</v>
      </c>
      <c r="J57" s="14">
        <v>31461</v>
      </c>
    </row>
    <row r="58" spans="1:10" x14ac:dyDescent="0.25">
      <c r="A58" s="5">
        <v>44024</v>
      </c>
      <c r="B58" s="6">
        <v>2020</v>
      </c>
      <c r="C58" s="6" t="s">
        <v>33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39464</v>
      </c>
      <c r="J58" s="9">
        <v>39464</v>
      </c>
    </row>
    <row r="59" spans="1:10" x14ac:dyDescent="0.25">
      <c r="A59" s="10">
        <v>44025</v>
      </c>
      <c r="B59" s="11">
        <v>2020</v>
      </c>
      <c r="C59" s="11" t="s">
        <v>33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37225</v>
      </c>
      <c r="J59" s="14">
        <v>37225</v>
      </c>
    </row>
    <row r="60" spans="1:10" x14ac:dyDescent="0.25">
      <c r="A60" s="5">
        <v>44028</v>
      </c>
      <c r="B60" s="6">
        <v>2020</v>
      </c>
      <c r="C60" s="6" t="s">
        <v>33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37906</v>
      </c>
      <c r="J60" s="9">
        <v>37906</v>
      </c>
    </row>
    <row r="61" spans="1:10" x14ac:dyDescent="0.25">
      <c r="A61" s="10">
        <v>44013</v>
      </c>
      <c r="B61" s="11">
        <v>2020</v>
      </c>
      <c r="C61" s="11" t="s">
        <v>33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37054</v>
      </c>
      <c r="J61" s="14">
        <v>37054</v>
      </c>
    </row>
    <row r="62" spans="1:10" x14ac:dyDescent="0.25">
      <c r="A62" s="5">
        <v>44014</v>
      </c>
      <c r="B62" s="6">
        <v>2020</v>
      </c>
      <c r="C62" s="6" t="s">
        <v>33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39645</v>
      </c>
      <c r="J62" s="9">
        <v>39645</v>
      </c>
    </row>
    <row r="63" spans="1:10" x14ac:dyDescent="0.25">
      <c r="A63" s="10">
        <v>44017</v>
      </c>
      <c r="B63" s="11">
        <v>2020</v>
      </c>
      <c r="C63" s="11" t="s">
        <v>33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31059</v>
      </c>
      <c r="J63" s="14">
        <v>31059</v>
      </c>
    </row>
    <row r="64" spans="1:10" x14ac:dyDescent="0.25">
      <c r="A64" s="5">
        <v>44026</v>
      </c>
      <c r="B64" s="6">
        <v>2020</v>
      </c>
      <c r="C64" s="6" t="s">
        <v>33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36122</v>
      </c>
      <c r="J64" s="9">
        <v>36122</v>
      </c>
    </row>
    <row r="65" spans="1:10" x14ac:dyDescent="0.25">
      <c r="A65" s="10">
        <v>44037</v>
      </c>
      <c r="B65" s="11">
        <v>2020</v>
      </c>
      <c r="C65" s="11" t="s">
        <v>33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32827</v>
      </c>
      <c r="J65" s="14">
        <v>32827</v>
      </c>
    </row>
    <row r="66" spans="1:10" x14ac:dyDescent="0.25">
      <c r="A66" s="5">
        <v>44014</v>
      </c>
      <c r="B66" s="6">
        <v>2020</v>
      </c>
      <c r="C66" s="6" t="s">
        <v>33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38308</v>
      </c>
      <c r="J66" s="9">
        <v>38308</v>
      </c>
    </row>
    <row r="67" spans="1:10" x14ac:dyDescent="0.25">
      <c r="A67" s="10">
        <v>44024</v>
      </c>
      <c r="B67" s="11">
        <v>2020</v>
      </c>
      <c r="C67" s="11" t="s">
        <v>33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31322</v>
      </c>
      <c r="J67" s="14">
        <v>31322</v>
      </c>
    </row>
    <row r="68" spans="1:10" x14ac:dyDescent="0.25">
      <c r="A68" s="5">
        <v>44029</v>
      </c>
      <c r="B68" s="6">
        <v>2020</v>
      </c>
      <c r="C68" s="6" t="s">
        <v>33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34116</v>
      </c>
      <c r="J68" s="9">
        <v>34116</v>
      </c>
    </row>
    <row r="69" spans="1:10" x14ac:dyDescent="0.25">
      <c r="A69" s="10">
        <v>44013</v>
      </c>
      <c r="B69" s="11">
        <v>2020</v>
      </c>
      <c r="C69" s="11" t="s">
        <v>33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37805</v>
      </c>
      <c r="J69" s="14">
        <v>37805</v>
      </c>
    </row>
    <row r="70" spans="1:10" x14ac:dyDescent="0.25">
      <c r="A70" s="5">
        <v>44030</v>
      </c>
      <c r="B70" s="6">
        <v>2020</v>
      </c>
      <c r="C70" s="6" t="s">
        <v>33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37317</v>
      </c>
      <c r="J70" s="9">
        <v>37317</v>
      </c>
    </row>
    <row r="71" spans="1:10" x14ac:dyDescent="0.25">
      <c r="A71" s="10">
        <v>44032</v>
      </c>
      <c r="B71" s="11">
        <v>2020</v>
      </c>
      <c r="C71" s="11" t="s">
        <v>33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35644</v>
      </c>
      <c r="J71" s="14">
        <v>35644</v>
      </c>
    </row>
    <row r="72" spans="1:10" x14ac:dyDescent="0.25">
      <c r="A72" s="5">
        <v>44023</v>
      </c>
      <c r="B72" s="6">
        <v>2020</v>
      </c>
      <c r="C72" s="6" t="s">
        <v>33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32950</v>
      </c>
      <c r="J72" s="9">
        <v>32950</v>
      </c>
    </row>
    <row r="73" spans="1:10" x14ac:dyDescent="0.25">
      <c r="A73" s="10">
        <v>44024</v>
      </c>
      <c r="B73" s="11">
        <v>2020</v>
      </c>
      <c r="C73" s="11" t="s">
        <v>33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31384</v>
      </c>
      <c r="J73" s="14">
        <v>31384</v>
      </c>
    </row>
    <row r="74" spans="1:10" x14ac:dyDescent="0.25">
      <c r="A74" s="15">
        <v>44027</v>
      </c>
      <c r="B74" s="16">
        <v>2020</v>
      </c>
      <c r="C74" s="16" t="s">
        <v>33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33903</v>
      </c>
      <c r="J74" s="19">
        <v>33903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8A08-3F5C-4F08-93E0-1F7104A85322}">
  <sheetPr codeName="Sheet8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44045</v>
      </c>
      <c r="B2" s="6">
        <v>2020</v>
      </c>
      <c r="C2" s="6" t="s">
        <v>34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32880</v>
      </c>
      <c r="J2" s="9">
        <v>32880</v>
      </c>
      <c r="L2" t="s">
        <v>29</v>
      </c>
      <c r="M2" s="1">
        <f>AVERAGE('August 2020'!$I$2:$I$74)</f>
        <v>35703.794520547948</v>
      </c>
    </row>
    <row r="3" spans="1:13" x14ac:dyDescent="0.25">
      <c r="A3" s="10">
        <v>44045</v>
      </c>
      <c r="B3" s="11">
        <v>2020</v>
      </c>
      <c r="C3" s="11" t="s">
        <v>34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39535</v>
      </c>
      <c r="J3" s="14">
        <v>39535</v>
      </c>
    </row>
    <row r="4" spans="1:13" x14ac:dyDescent="0.25">
      <c r="A4" s="5">
        <v>44047</v>
      </c>
      <c r="B4" s="6">
        <v>2020</v>
      </c>
      <c r="C4" s="6" t="s">
        <v>34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38543</v>
      </c>
      <c r="J4" s="9">
        <v>38543</v>
      </c>
    </row>
    <row r="5" spans="1:13" x14ac:dyDescent="0.25">
      <c r="A5" s="10">
        <v>44055</v>
      </c>
      <c r="B5" s="11">
        <v>2020</v>
      </c>
      <c r="C5" s="11" t="s">
        <v>34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35087</v>
      </c>
      <c r="J5" s="14">
        <v>35087</v>
      </c>
    </row>
    <row r="6" spans="1:13" x14ac:dyDescent="0.25">
      <c r="A6" s="5">
        <v>44065</v>
      </c>
      <c r="B6" s="6">
        <v>2020</v>
      </c>
      <c r="C6" s="6" t="s">
        <v>34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37340</v>
      </c>
      <c r="J6" s="9">
        <v>37340</v>
      </c>
    </row>
    <row r="7" spans="1:13" x14ac:dyDescent="0.25">
      <c r="A7" s="10">
        <v>44069</v>
      </c>
      <c r="B7" s="11">
        <v>2020</v>
      </c>
      <c r="C7" s="11" t="s">
        <v>34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35671</v>
      </c>
      <c r="J7" s="14">
        <v>35671</v>
      </c>
    </row>
    <row r="8" spans="1:13" x14ac:dyDescent="0.25">
      <c r="A8" s="5">
        <v>44071</v>
      </c>
      <c r="B8" s="6">
        <v>2020</v>
      </c>
      <c r="C8" s="6" t="s">
        <v>34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34296</v>
      </c>
      <c r="J8" s="9">
        <v>34296</v>
      </c>
    </row>
    <row r="9" spans="1:13" x14ac:dyDescent="0.25">
      <c r="A9" s="10">
        <v>44074</v>
      </c>
      <c r="B9" s="11">
        <v>2020</v>
      </c>
      <c r="C9" s="11" t="s">
        <v>34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34355</v>
      </c>
      <c r="J9" s="14">
        <v>34355</v>
      </c>
    </row>
    <row r="10" spans="1:13" x14ac:dyDescent="0.25">
      <c r="A10" s="5">
        <v>44045</v>
      </c>
      <c r="B10" s="6">
        <v>2020</v>
      </c>
      <c r="C10" s="6" t="s">
        <v>34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35989</v>
      </c>
      <c r="J10" s="9">
        <v>35989</v>
      </c>
    </row>
    <row r="11" spans="1:13" x14ac:dyDescent="0.25">
      <c r="A11" s="10">
        <v>44045</v>
      </c>
      <c r="B11" s="11">
        <v>2020</v>
      </c>
      <c r="C11" s="11" t="s">
        <v>34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37751</v>
      </c>
      <c r="J11" s="14">
        <v>75502</v>
      </c>
    </row>
    <row r="12" spans="1:13" x14ac:dyDescent="0.25">
      <c r="A12" s="5">
        <v>44045</v>
      </c>
      <c r="B12" s="6">
        <v>2020</v>
      </c>
      <c r="C12" s="6" t="s">
        <v>34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38440</v>
      </c>
      <c r="J12" s="9">
        <v>38440</v>
      </c>
    </row>
    <row r="13" spans="1:13" x14ac:dyDescent="0.25">
      <c r="A13" s="10">
        <v>44047</v>
      </c>
      <c r="B13" s="11">
        <v>2020</v>
      </c>
      <c r="C13" s="11" t="s">
        <v>34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39882</v>
      </c>
      <c r="J13" s="14">
        <v>39882</v>
      </c>
    </row>
    <row r="14" spans="1:13" x14ac:dyDescent="0.25">
      <c r="A14" s="5">
        <v>44048</v>
      </c>
      <c r="B14" s="6">
        <v>2020</v>
      </c>
      <c r="C14" s="6" t="s">
        <v>34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32282</v>
      </c>
      <c r="J14" s="9">
        <v>32282</v>
      </c>
    </row>
    <row r="15" spans="1:13" x14ac:dyDescent="0.25">
      <c r="A15" s="10">
        <v>44052</v>
      </c>
      <c r="B15" s="11">
        <v>2020</v>
      </c>
      <c r="C15" s="11" t="s">
        <v>34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31730</v>
      </c>
      <c r="J15" s="14">
        <v>31730</v>
      </c>
    </row>
    <row r="16" spans="1:13" x14ac:dyDescent="0.25">
      <c r="A16" s="5">
        <v>44057</v>
      </c>
      <c r="B16" s="6">
        <v>2020</v>
      </c>
      <c r="C16" s="6" t="s">
        <v>34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36843</v>
      </c>
      <c r="J16" s="9">
        <v>36843</v>
      </c>
    </row>
    <row r="17" spans="1:10" x14ac:dyDescent="0.25">
      <c r="A17" s="10">
        <v>44059</v>
      </c>
      <c r="B17" s="11">
        <v>2020</v>
      </c>
      <c r="C17" s="11" t="s">
        <v>34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38850</v>
      </c>
      <c r="J17" s="14">
        <v>38850</v>
      </c>
    </row>
    <row r="18" spans="1:10" x14ac:dyDescent="0.25">
      <c r="A18" s="5">
        <v>44062</v>
      </c>
      <c r="B18" s="6">
        <v>2020</v>
      </c>
      <c r="C18" s="6" t="s">
        <v>34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37750</v>
      </c>
      <c r="J18" s="9">
        <v>37750</v>
      </c>
    </row>
    <row r="19" spans="1:10" x14ac:dyDescent="0.25">
      <c r="A19" s="10">
        <v>44064</v>
      </c>
      <c r="B19" s="11">
        <v>2020</v>
      </c>
      <c r="C19" s="11" t="s">
        <v>34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33795</v>
      </c>
      <c r="J19" s="14">
        <v>33795</v>
      </c>
    </row>
    <row r="20" spans="1:10" x14ac:dyDescent="0.25">
      <c r="A20" s="5">
        <v>44066</v>
      </c>
      <c r="B20" s="6">
        <v>2020</v>
      </c>
      <c r="C20" s="6" t="s">
        <v>34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36886</v>
      </c>
      <c r="J20" s="9">
        <v>36886</v>
      </c>
    </row>
    <row r="21" spans="1:10" x14ac:dyDescent="0.25">
      <c r="A21" s="10">
        <v>44073</v>
      </c>
      <c r="B21" s="11">
        <v>2020</v>
      </c>
      <c r="C21" s="11" t="s">
        <v>34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35917</v>
      </c>
      <c r="J21" s="14">
        <v>35917</v>
      </c>
    </row>
    <row r="22" spans="1:10" x14ac:dyDescent="0.25">
      <c r="A22" s="5">
        <v>44045</v>
      </c>
      <c r="B22" s="6">
        <v>2020</v>
      </c>
      <c r="C22" s="6" t="s">
        <v>34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33737</v>
      </c>
      <c r="J22" s="9">
        <v>33737</v>
      </c>
    </row>
    <row r="23" spans="1:10" x14ac:dyDescent="0.25">
      <c r="A23" s="10">
        <v>44046</v>
      </c>
      <c r="B23" s="11">
        <v>2020</v>
      </c>
      <c r="C23" s="11" t="s">
        <v>34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37384</v>
      </c>
      <c r="J23" s="14">
        <v>37384</v>
      </c>
    </row>
    <row r="24" spans="1:10" x14ac:dyDescent="0.25">
      <c r="A24" s="5">
        <v>44047</v>
      </c>
      <c r="B24" s="6">
        <v>2020</v>
      </c>
      <c r="C24" s="6" t="s">
        <v>34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38071</v>
      </c>
      <c r="J24" s="9">
        <v>38071</v>
      </c>
    </row>
    <row r="25" spans="1:10" x14ac:dyDescent="0.25">
      <c r="A25" s="10">
        <v>44050</v>
      </c>
      <c r="B25" s="11">
        <v>2020</v>
      </c>
      <c r="C25" s="11" t="s">
        <v>34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39290</v>
      </c>
      <c r="J25" s="14">
        <v>39290</v>
      </c>
    </row>
    <row r="26" spans="1:10" x14ac:dyDescent="0.25">
      <c r="A26" s="5">
        <v>44055</v>
      </c>
      <c r="B26" s="6">
        <v>2020</v>
      </c>
      <c r="C26" s="6" t="s">
        <v>34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31556</v>
      </c>
      <c r="J26" s="9">
        <v>31556</v>
      </c>
    </row>
    <row r="27" spans="1:10" x14ac:dyDescent="0.25">
      <c r="A27" s="10">
        <v>44067</v>
      </c>
      <c r="B27" s="11">
        <v>2020</v>
      </c>
      <c r="C27" s="11" t="s">
        <v>34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38918</v>
      </c>
      <c r="J27" s="14">
        <v>77836</v>
      </c>
    </row>
    <row r="28" spans="1:10" x14ac:dyDescent="0.25">
      <c r="A28" s="5">
        <v>44067</v>
      </c>
      <c r="B28" s="6">
        <v>2020</v>
      </c>
      <c r="C28" s="6" t="s">
        <v>34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34260</v>
      </c>
      <c r="J28" s="9">
        <v>34260</v>
      </c>
    </row>
    <row r="29" spans="1:10" x14ac:dyDescent="0.25">
      <c r="A29" s="10">
        <v>44070</v>
      </c>
      <c r="B29" s="11">
        <v>2020</v>
      </c>
      <c r="C29" s="11" t="s">
        <v>34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35511</v>
      </c>
      <c r="J29" s="14">
        <v>35511</v>
      </c>
    </row>
    <row r="30" spans="1:10" x14ac:dyDescent="0.25">
      <c r="A30" s="5">
        <v>44072</v>
      </c>
      <c r="B30" s="6">
        <v>2020</v>
      </c>
      <c r="C30" s="6" t="s">
        <v>34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34810</v>
      </c>
      <c r="J30" s="9">
        <v>34810</v>
      </c>
    </row>
    <row r="31" spans="1:10" x14ac:dyDescent="0.25">
      <c r="A31" s="10">
        <v>44047</v>
      </c>
      <c r="B31" s="11">
        <v>2020</v>
      </c>
      <c r="C31" s="11" t="s">
        <v>34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32764</v>
      </c>
      <c r="J31" s="14">
        <v>32764</v>
      </c>
    </row>
    <row r="32" spans="1:10" x14ac:dyDescent="0.25">
      <c r="A32" s="5">
        <v>44049</v>
      </c>
      <c r="B32" s="6">
        <v>2020</v>
      </c>
      <c r="C32" s="6" t="s">
        <v>34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31264</v>
      </c>
      <c r="J32" s="9">
        <v>31264</v>
      </c>
    </row>
    <row r="33" spans="1:10" x14ac:dyDescent="0.25">
      <c r="A33" s="10">
        <v>44051</v>
      </c>
      <c r="B33" s="11">
        <v>2020</v>
      </c>
      <c r="C33" s="11" t="s">
        <v>34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31762</v>
      </c>
      <c r="J33" s="14">
        <v>31762</v>
      </c>
    </row>
    <row r="34" spans="1:10" x14ac:dyDescent="0.25">
      <c r="A34" s="5">
        <v>44053</v>
      </c>
      <c r="B34" s="6">
        <v>2020</v>
      </c>
      <c r="C34" s="6" t="s">
        <v>34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35131</v>
      </c>
      <c r="J34" s="9">
        <v>35131</v>
      </c>
    </row>
    <row r="35" spans="1:10" x14ac:dyDescent="0.25">
      <c r="A35" s="10">
        <v>44055</v>
      </c>
      <c r="B35" s="11">
        <v>2020</v>
      </c>
      <c r="C35" s="11" t="s">
        <v>34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39060</v>
      </c>
      <c r="J35" s="14">
        <v>39060</v>
      </c>
    </row>
    <row r="36" spans="1:10" x14ac:dyDescent="0.25">
      <c r="A36" s="5">
        <v>44056</v>
      </c>
      <c r="B36" s="6">
        <v>2020</v>
      </c>
      <c r="C36" s="6" t="s">
        <v>34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34304</v>
      </c>
      <c r="J36" s="9">
        <v>34304</v>
      </c>
    </row>
    <row r="37" spans="1:10" x14ac:dyDescent="0.25">
      <c r="A37" s="10">
        <v>44057</v>
      </c>
      <c r="B37" s="11">
        <v>2020</v>
      </c>
      <c r="C37" s="11" t="s">
        <v>34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35438</v>
      </c>
      <c r="J37" s="14">
        <v>35438</v>
      </c>
    </row>
    <row r="38" spans="1:10" x14ac:dyDescent="0.25">
      <c r="A38" s="5">
        <v>44067</v>
      </c>
      <c r="B38" s="6">
        <v>2020</v>
      </c>
      <c r="C38" s="6" t="s">
        <v>34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37933</v>
      </c>
      <c r="J38" s="9">
        <v>37933</v>
      </c>
    </row>
    <row r="39" spans="1:10" x14ac:dyDescent="0.25">
      <c r="A39" s="10">
        <v>44072</v>
      </c>
      <c r="B39" s="11">
        <v>2020</v>
      </c>
      <c r="C39" s="11" t="s">
        <v>34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36893</v>
      </c>
      <c r="J39" s="14">
        <v>36893</v>
      </c>
    </row>
    <row r="40" spans="1:10" x14ac:dyDescent="0.25">
      <c r="A40" s="5">
        <v>44045</v>
      </c>
      <c r="B40" s="6">
        <v>2020</v>
      </c>
      <c r="C40" s="6" t="s">
        <v>34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37942</v>
      </c>
      <c r="J40" s="9">
        <v>37942</v>
      </c>
    </row>
    <row r="41" spans="1:10" x14ac:dyDescent="0.25">
      <c r="A41" s="10">
        <v>44045</v>
      </c>
      <c r="B41" s="11">
        <v>2020</v>
      </c>
      <c r="C41" s="11" t="s">
        <v>34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38746</v>
      </c>
      <c r="J41" s="14">
        <v>38746</v>
      </c>
    </row>
    <row r="42" spans="1:10" x14ac:dyDescent="0.25">
      <c r="A42" s="5">
        <v>44049</v>
      </c>
      <c r="B42" s="6">
        <v>2020</v>
      </c>
      <c r="C42" s="6" t="s">
        <v>34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33178</v>
      </c>
      <c r="J42" s="9">
        <v>33178</v>
      </c>
    </row>
    <row r="43" spans="1:10" x14ac:dyDescent="0.25">
      <c r="A43" s="10">
        <v>44057</v>
      </c>
      <c r="B43" s="11">
        <v>2020</v>
      </c>
      <c r="C43" s="11" t="s">
        <v>34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34541</v>
      </c>
      <c r="J43" s="14">
        <v>34541</v>
      </c>
    </row>
    <row r="44" spans="1:10" x14ac:dyDescent="0.25">
      <c r="A44" s="5">
        <v>44064</v>
      </c>
      <c r="B44" s="6">
        <v>2020</v>
      </c>
      <c r="C44" s="6" t="s">
        <v>34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32295</v>
      </c>
      <c r="J44" s="9">
        <v>32295</v>
      </c>
    </row>
    <row r="45" spans="1:10" x14ac:dyDescent="0.25">
      <c r="A45" s="10">
        <v>44064</v>
      </c>
      <c r="B45" s="11">
        <v>2020</v>
      </c>
      <c r="C45" s="11" t="s">
        <v>34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39840</v>
      </c>
      <c r="J45" s="14">
        <v>39840</v>
      </c>
    </row>
    <row r="46" spans="1:10" x14ac:dyDescent="0.25">
      <c r="A46" s="5">
        <v>44066</v>
      </c>
      <c r="B46" s="6">
        <v>2020</v>
      </c>
      <c r="C46" s="6" t="s">
        <v>34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38808</v>
      </c>
      <c r="J46" s="9">
        <v>38808</v>
      </c>
    </row>
    <row r="47" spans="1:10" x14ac:dyDescent="0.25">
      <c r="A47" s="10">
        <v>44044</v>
      </c>
      <c r="B47" s="11">
        <v>2020</v>
      </c>
      <c r="C47" s="11" t="s">
        <v>34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31256</v>
      </c>
      <c r="J47" s="14">
        <v>31256</v>
      </c>
    </row>
    <row r="48" spans="1:10" x14ac:dyDescent="0.25">
      <c r="A48" s="5">
        <v>44045</v>
      </c>
      <c r="B48" s="6">
        <v>2020</v>
      </c>
      <c r="C48" s="6" t="s">
        <v>34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36341</v>
      </c>
      <c r="J48" s="9">
        <v>36341</v>
      </c>
    </row>
    <row r="49" spans="1:10" x14ac:dyDescent="0.25">
      <c r="A49" s="10">
        <v>44055</v>
      </c>
      <c r="B49" s="11">
        <v>2020</v>
      </c>
      <c r="C49" s="11" t="s">
        <v>34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33487</v>
      </c>
      <c r="J49" s="14">
        <v>33487</v>
      </c>
    </row>
    <row r="50" spans="1:10" x14ac:dyDescent="0.25">
      <c r="A50" s="5">
        <v>44055</v>
      </c>
      <c r="B50" s="6">
        <v>2020</v>
      </c>
      <c r="C50" s="6" t="s">
        <v>34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32851</v>
      </c>
      <c r="J50" s="9">
        <v>32851</v>
      </c>
    </row>
    <row r="51" spans="1:10" x14ac:dyDescent="0.25">
      <c r="A51" s="10">
        <v>44055</v>
      </c>
      <c r="B51" s="11">
        <v>2020</v>
      </c>
      <c r="C51" s="11" t="s">
        <v>34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39119</v>
      </c>
      <c r="J51" s="14">
        <v>39119</v>
      </c>
    </row>
    <row r="52" spans="1:10" x14ac:dyDescent="0.25">
      <c r="A52" s="5">
        <v>44059</v>
      </c>
      <c r="B52" s="6">
        <v>2020</v>
      </c>
      <c r="C52" s="6" t="s">
        <v>34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37408</v>
      </c>
      <c r="J52" s="9">
        <v>37408</v>
      </c>
    </row>
    <row r="53" spans="1:10" x14ac:dyDescent="0.25">
      <c r="A53" s="10">
        <v>44066</v>
      </c>
      <c r="B53" s="11">
        <v>2020</v>
      </c>
      <c r="C53" s="11" t="s">
        <v>34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34906</v>
      </c>
      <c r="J53" s="14">
        <v>34906</v>
      </c>
    </row>
    <row r="54" spans="1:10" x14ac:dyDescent="0.25">
      <c r="A54" s="5">
        <v>44071</v>
      </c>
      <c r="B54" s="6">
        <v>2020</v>
      </c>
      <c r="C54" s="6" t="s">
        <v>34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32185</v>
      </c>
      <c r="J54" s="9">
        <v>32185</v>
      </c>
    </row>
    <row r="55" spans="1:10" x14ac:dyDescent="0.25">
      <c r="A55" s="10">
        <v>44072</v>
      </c>
      <c r="B55" s="11">
        <v>2020</v>
      </c>
      <c r="C55" s="11" t="s">
        <v>34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39459</v>
      </c>
      <c r="J55" s="14">
        <v>39459</v>
      </c>
    </row>
    <row r="56" spans="1:10" x14ac:dyDescent="0.25">
      <c r="A56" s="5">
        <v>44055</v>
      </c>
      <c r="B56" s="6">
        <v>2020</v>
      </c>
      <c r="C56" s="6" t="s">
        <v>34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31995</v>
      </c>
      <c r="J56" s="9">
        <v>31995</v>
      </c>
    </row>
    <row r="57" spans="1:10" x14ac:dyDescent="0.25">
      <c r="A57" s="10">
        <v>44055</v>
      </c>
      <c r="B57" s="11">
        <v>2020</v>
      </c>
      <c r="C57" s="11" t="s">
        <v>34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39955</v>
      </c>
      <c r="J57" s="14">
        <v>39955</v>
      </c>
    </row>
    <row r="58" spans="1:10" x14ac:dyDescent="0.25">
      <c r="A58" s="5">
        <v>44055</v>
      </c>
      <c r="B58" s="6">
        <v>2020</v>
      </c>
      <c r="C58" s="6" t="s">
        <v>34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35956</v>
      </c>
      <c r="J58" s="9">
        <v>35956</v>
      </c>
    </row>
    <row r="59" spans="1:10" x14ac:dyDescent="0.25">
      <c r="A59" s="10">
        <v>44056</v>
      </c>
      <c r="B59" s="11">
        <v>2020</v>
      </c>
      <c r="C59" s="11" t="s">
        <v>34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38211</v>
      </c>
      <c r="J59" s="14">
        <v>38211</v>
      </c>
    </row>
    <row r="60" spans="1:10" x14ac:dyDescent="0.25">
      <c r="A60" s="5">
        <v>44059</v>
      </c>
      <c r="B60" s="6">
        <v>2020</v>
      </c>
      <c r="C60" s="6" t="s">
        <v>34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33234</v>
      </c>
      <c r="J60" s="9">
        <v>33234</v>
      </c>
    </row>
    <row r="61" spans="1:10" x14ac:dyDescent="0.25">
      <c r="A61" s="10">
        <v>44044</v>
      </c>
      <c r="B61" s="11">
        <v>2020</v>
      </c>
      <c r="C61" s="11" t="s">
        <v>34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34432</v>
      </c>
      <c r="J61" s="14">
        <v>34432</v>
      </c>
    </row>
    <row r="62" spans="1:10" x14ac:dyDescent="0.25">
      <c r="A62" s="5">
        <v>44045</v>
      </c>
      <c r="B62" s="6">
        <v>2020</v>
      </c>
      <c r="C62" s="6" t="s">
        <v>34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31232</v>
      </c>
      <c r="J62" s="9">
        <v>31232</v>
      </c>
    </row>
    <row r="63" spans="1:10" x14ac:dyDescent="0.25">
      <c r="A63" s="10">
        <v>44048</v>
      </c>
      <c r="B63" s="11">
        <v>2020</v>
      </c>
      <c r="C63" s="11" t="s">
        <v>34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36863</v>
      </c>
      <c r="J63" s="14">
        <v>36863</v>
      </c>
    </row>
    <row r="64" spans="1:10" x14ac:dyDescent="0.25">
      <c r="A64" s="5">
        <v>44057</v>
      </c>
      <c r="B64" s="6">
        <v>2020</v>
      </c>
      <c r="C64" s="6" t="s">
        <v>34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36334</v>
      </c>
      <c r="J64" s="9">
        <v>36334</v>
      </c>
    </row>
    <row r="65" spans="1:10" x14ac:dyDescent="0.25">
      <c r="A65" s="10">
        <v>44068</v>
      </c>
      <c r="B65" s="11">
        <v>2020</v>
      </c>
      <c r="C65" s="11" t="s">
        <v>34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35273</v>
      </c>
      <c r="J65" s="14">
        <v>35273</v>
      </c>
    </row>
    <row r="66" spans="1:10" x14ac:dyDescent="0.25">
      <c r="A66" s="5">
        <v>44045</v>
      </c>
      <c r="B66" s="6">
        <v>2020</v>
      </c>
      <c r="C66" s="6" t="s">
        <v>34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36729</v>
      </c>
      <c r="J66" s="9">
        <v>36729</v>
      </c>
    </row>
    <row r="67" spans="1:10" x14ac:dyDescent="0.25">
      <c r="A67" s="10">
        <v>44055</v>
      </c>
      <c r="B67" s="11">
        <v>2020</v>
      </c>
      <c r="C67" s="11" t="s">
        <v>34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32499</v>
      </c>
      <c r="J67" s="14">
        <v>32499</v>
      </c>
    </row>
    <row r="68" spans="1:10" x14ac:dyDescent="0.25">
      <c r="A68" s="5">
        <v>44060</v>
      </c>
      <c r="B68" s="6">
        <v>2020</v>
      </c>
      <c r="C68" s="6" t="s">
        <v>34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32919</v>
      </c>
      <c r="J68" s="9">
        <v>32919</v>
      </c>
    </row>
    <row r="69" spans="1:10" x14ac:dyDescent="0.25">
      <c r="A69" s="10">
        <v>44044</v>
      </c>
      <c r="B69" s="11">
        <v>2020</v>
      </c>
      <c r="C69" s="11" t="s">
        <v>34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37829</v>
      </c>
      <c r="J69" s="14">
        <v>37829</v>
      </c>
    </row>
    <row r="70" spans="1:10" x14ac:dyDescent="0.25">
      <c r="A70" s="5">
        <v>44061</v>
      </c>
      <c r="B70" s="6">
        <v>2020</v>
      </c>
      <c r="C70" s="6" t="s">
        <v>34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35269</v>
      </c>
      <c r="J70" s="9">
        <v>35269</v>
      </c>
    </row>
    <row r="71" spans="1:10" x14ac:dyDescent="0.25">
      <c r="A71" s="10">
        <v>44063</v>
      </c>
      <c r="B71" s="11">
        <v>2020</v>
      </c>
      <c r="C71" s="11" t="s">
        <v>34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35671</v>
      </c>
      <c r="J71" s="14">
        <v>35671</v>
      </c>
    </row>
    <row r="72" spans="1:10" x14ac:dyDescent="0.25">
      <c r="A72" s="5">
        <v>44054</v>
      </c>
      <c r="B72" s="6">
        <v>2020</v>
      </c>
      <c r="C72" s="6" t="s">
        <v>34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34593</v>
      </c>
      <c r="J72" s="9">
        <v>34593</v>
      </c>
    </row>
    <row r="73" spans="1:10" x14ac:dyDescent="0.25">
      <c r="A73" s="10">
        <v>44055</v>
      </c>
      <c r="B73" s="11">
        <v>2020</v>
      </c>
      <c r="C73" s="11" t="s">
        <v>34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33501</v>
      </c>
      <c r="J73" s="14">
        <v>33501</v>
      </c>
    </row>
    <row r="74" spans="1:10" x14ac:dyDescent="0.25">
      <c r="A74" s="15">
        <v>44058</v>
      </c>
      <c r="B74" s="16">
        <v>2020</v>
      </c>
      <c r="C74" s="16" t="s">
        <v>34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39612</v>
      </c>
      <c r="J74" s="19">
        <v>39612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5E5C4-E17F-4C43-B20D-957F918D1EC6}">
  <sheetPr codeName="Sheet9"/>
  <dimension ref="A1:M74"/>
  <sheetViews>
    <sheetView topLeftCell="F10"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44076</v>
      </c>
      <c r="B2" s="6">
        <v>2020</v>
      </c>
      <c r="C2" s="6" t="s">
        <v>8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34353</v>
      </c>
      <c r="J2" s="9">
        <v>34353</v>
      </c>
      <c r="L2" t="s">
        <v>29</v>
      </c>
      <c r="M2" s="1">
        <f>AVERAGE('September 2020'!$I$2:$I$74)</f>
        <v>37219.534246575342</v>
      </c>
    </row>
    <row r="3" spans="1:13" x14ac:dyDescent="0.25">
      <c r="A3" s="10">
        <v>44076</v>
      </c>
      <c r="B3" s="11">
        <v>2020</v>
      </c>
      <c r="C3" s="11" t="s">
        <v>8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41375</v>
      </c>
      <c r="J3" s="14">
        <v>41375</v>
      </c>
    </row>
    <row r="4" spans="1:13" x14ac:dyDescent="0.25">
      <c r="A4" s="5">
        <v>44078</v>
      </c>
      <c r="B4" s="6">
        <v>2020</v>
      </c>
      <c r="C4" s="6" t="s">
        <v>8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33873</v>
      </c>
      <c r="J4" s="9">
        <v>33873</v>
      </c>
    </row>
    <row r="5" spans="1:13" x14ac:dyDescent="0.25">
      <c r="A5" s="10">
        <v>44086</v>
      </c>
      <c r="B5" s="11">
        <v>2020</v>
      </c>
      <c r="C5" s="11" t="s">
        <v>8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33821</v>
      </c>
      <c r="J5" s="14">
        <v>33821</v>
      </c>
    </row>
    <row r="6" spans="1:13" x14ac:dyDescent="0.25">
      <c r="A6" s="5">
        <v>44096</v>
      </c>
      <c r="B6" s="6">
        <v>2020</v>
      </c>
      <c r="C6" s="6" t="s">
        <v>8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41016</v>
      </c>
      <c r="J6" s="9">
        <v>41016</v>
      </c>
    </row>
    <row r="7" spans="1:13" x14ac:dyDescent="0.25">
      <c r="A7" s="10">
        <v>44100</v>
      </c>
      <c r="B7" s="11">
        <v>2020</v>
      </c>
      <c r="C7" s="11" t="s">
        <v>8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41648</v>
      </c>
      <c r="J7" s="14">
        <v>41648</v>
      </c>
    </row>
    <row r="8" spans="1:13" x14ac:dyDescent="0.25">
      <c r="A8" s="5">
        <v>44102</v>
      </c>
      <c r="B8" s="6">
        <v>2020</v>
      </c>
      <c r="C8" s="6" t="s">
        <v>8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35301</v>
      </c>
      <c r="J8" s="9">
        <v>35301</v>
      </c>
    </row>
    <row r="9" spans="1:13" x14ac:dyDescent="0.25">
      <c r="A9" s="10">
        <v>44104</v>
      </c>
      <c r="B9" s="11">
        <v>2020</v>
      </c>
      <c r="C9" s="11" t="s">
        <v>8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33551</v>
      </c>
      <c r="J9" s="14">
        <v>33551</v>
      </c>
    </row>
    <row r="10" spans="1:13" x14ac:dyDescent="0.25">
      <c r="A10" s="5">
        <v>44076</v>
      </c>
      <c r="B10" s="6">
        <v>2020</v>
      </c>
      <c r="C10" s="6" t="s">
        <v>8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36644</v>
      </c>
      <c r="J10" s="9">
        <v>36644</v>
      </c>
    </row>
    <row r="11" spans="1:13" x14ac:dyDescent="0.25">
      <c r="A11" s="10">
        <v>44076</v>
      </c>
      <c r="B11" s="11">
        <v>2020</v>
      </c>
      <c r="C11" s="11" t="s">
        <v>8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37679</v>
      </c>
      <c r="J11" s="14">
        <v>75358</v>
      </c>
    </row>
    <row r="12" spans="1:13" x14ac:dyDescent="0.25">
      <c r="A12" s="5">
        <v>44076</v>
      </c>
      <c r="B12" s="6">
        <v>2020</v>
      </c>
      <c r="C12" s="6" t="s">
        <v>8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34559</v>
      </c>
      <c r="J12" s="9">
        <v>34559</v>
      </c>
    </row>
    <row r="13" spans="1:13" x14ac:dyDescent="0.25">
      <c r="A13" s="10">
        <v>44078</v>
      </c>
      <c r="B13" s="11">
        <v>2020</v>
      </c>
      <c r="C13" s="11" t="s">
        <v>8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41663</v>
      </c>
      <c r="J13" s="14">
        <v>41663</v>
      </c>
    </row>
    <row r="14" spans="1:13" x14ac:dyDescent="0.25">
      <c r="A14" s="5">
        <v>44079</v>
      </c>
      <c r="B14" s="6">
        <v>2020</v>
      </c>
      <c r="C14" s="6" t="s">
        <v>8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33981</v>
      </c>
      <c r="J14" s="9">
        <v>33981</v>
      </c>
    </row>
    <row r="15" spans="1:13" x14ac:dyDescent="0.25">
      <c r="A15" s="10">
        <v>44083</v>
      </c>
      <c r="B15" s="11">
        <v>2020</v>
      </c>
      <c r="C15" s="11" t="s">
        <v>8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34516</v>
      </c>
      <c r="J15" s="14">
        <v>34516</v>
      </c>
    </row>
    <row r="16" spans="1:13" x14ac:dyDescent="0.25">
      <c r="A16" s="5">
        <v>44088</v>
      </c>
      <c r="B16" s="6">
        <v>2020</v>
      </c>
      <c r="C16" s="6" t="s">
        <v>8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39393</v>
      </c>
      <c r="J16" s="9">
        <v>39393</v>
      </c>
    </row>
    <row r="17" spans="1:10" x14ac:dyDescent="0.25">
      <c r="A17" s="10">
        <v>44090</v>
      </c>
      <c r="B17" s="11">
        <v>2020</v>
      </c>
      <c r="C17" s="11" t="s">
        <v>8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38691</v>
      </c>
      <c r="J17" s="14">
        <v>38691</v>
      </c>
    </row>
    <row r="18" spans="1:10" x14ac:dyDescent="0.25">
      <c r="A18" s="5">
        <v>44093</v>
      </c>
      <c r="B18" s="6">
        <v>2020</v>
      </c>
      <c r="C18" s="6" t="s">
        <v>8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41599</v>
      </c>
      <c r="J18" s="9">
        <v>41599</v>
      </c>
    </row>
    <row r="19" spans="1:10" x14ac:dyDescent="0.25">
      <c r="A19" s="10">
        <v>44095</v>
      </c>
      <c r="B19" s="11">
        <v>2020</v>
      </c>
      <c r="C19" s="11" t="s">
        <v>8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36863</v>
      </c>
      <c r="J19" s="14">
        <v>36863</v>
      </c>
    </row>
    <row r="20" spans="1:10" x14ac:dyDescent="0.25">
      <c r="A20" s="5">
        <v>44097</v>
      </c>
      <c r="B20" s="6">
        <v>2020</v>
      </c>
      <c r="C20" s="6" t="s">
        <v>8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38466</v>
      </c>
      <c r="J20" s="9">
        <v>38466</v>
      </c>
    </row>
    <row r="21" spans="1:10" x14ac:dyDescent="0.25">
      <c r="A21" s="10">
        <v>44104</v>
      </c>
      <c r="B21" s="11">
        <v>2020</v>
      </c>
      <c r="C21" s="11" t="s">
        <v>8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36223</v>
      </c>
      <c r="J21" s="14">
        <v>36223</v>
      </c>
    </row>
    <row r="22" spans="1:10" x14ac:dyDescent="0.25">
      <c r="A22" s="5">
        <v>44076</v>
      </c>
      <c r="B22" s="6">
        <v>2020</v>
      </c>
      <c r="C22" s="6" t="s">
        <v>8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37499</v>
      </c>
      <c r="J22" s="9">
        <v>37499</v>
      </c>
    </row>
    <row r="23" spans="1:10" x14ac:dyDescent="0.25">
      <c r="A23" s="10">
        <v>44077</v>
      </c>
      <c r="B23" s="11">
        <v>2020</v>
      </c>
      <c r="C23" s="11" t="s">
        <v>8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34866</v>
      </c>
      <c r="J23" s="14">
        <v>34866</v>
      </c>
    </row>
    <row r="24" spans="1:10" x14ac:dyDescent="0.25">
      <c r="A24" s="5">
        <v>44078</v>
      </c>
      <c r="B24" s="6">
        <v>2020</v>
      </c>
      <c r="C24" s="6" t="s">
        <v>8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33264</v>
      </c>
      <c r="J24" s="9">
        <v>33264</v>
      </c>
    </row>
    <row r="25" spans="1:10" x14ac:dyDescent="0.25">
      <c r="A25" s="10">
        <v>44081</v>
      </c>
      <c r="B25" s="11">
        <v>2020</v>
      </c>
      <c r="C25" s="11" t="s">
        <v>8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37697</v>
      </c>
      <c r="J25" s="14">
        <v>37697</v>
      </c>
    </row>
    <row r="26" spans="1:10" x14ac:dyDescent="0.25">
      <c r="A26" s="5">
        <v>44086</v>
      </c>
      <c r="B26" s="6">
        <v>2020</v>
      </c>
      <c r="C26" s="6" t="s">
        <v>8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34895</v>
      </c>
      <c r="J26" s="9">
        <v>34895</v>
      </c>
    </row>
    <row r="27" spans="1:10" x14ac:dyDescent="0.25">
      <c r="A27" s="10">
        <v>44098</v>
      </c>
      <c r="B27" s="11">
        <v>2020</v>
      </c>
      <c r="C27" s="11" t="s">
        <v>8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40509</v>
      </c>
      <c r="J27" s="14">
        <v>81018</v>
      </c>
    </row>
    <row r="28" spans="1:10" x14ac:dyDescent="0.25">
      <c r="A28" s="5">
        <v>44098</v>
      </c>
      <c r="B28" s="6">
        <v>2020</v>
      </c>
      <c r="C28" s="6" t="s">
        <v>8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37803</v>
      </c>
      <c r="J28" s="9">
        <v>37803</v>
      </c>
    </row>
    <row r="29" spans="1:10" x14ac:dyDescent="0.25">
      <c r="A29" s="10">
        <v>44101</v>
      </c>
      <c r="B29" s="11">
        <v>2020</v>
      </c>
      <c r="C29" s="11" t="s">
        <v>8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38638</v>
      </c>
      <c r="J29" s="14">
        <v>38638</v>
      </c>
    </row>
    <row r="30" spans="1:10" x14ac:dyDescent="0.25">
      <c r="A30" s="5">
        <v>44103</v>
      </c>
      <c r="B30" s="6">
        <v>2020</v>
      </c>
      <c r="C30" s="6" t="s">
        <v>8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34862</v>
      </c>
      <c r="J30" s="9">
        <v>34862</v>
      </c>
    </row>
    <row r="31" spans="1:10" x14ac:dyDescent="0.25">
      <c r="A31" s="10">
        <v>44078</v>
      </c>
      <c r="B31" s="11">
        <v>2020</v>
      </c>
      <c r="C31" s="11" t="s">
        <v>8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38468</v>
      </c>
      <c r="J31" s="14">
        <v>38468</v>
      </c>
    </row>
    <row r="32" spans="1:10" x14ac:dyDescent="0.25">
      <c r="A32" s="5">
        <v>44080</v>
      </c>
      <c r="B32" s="6">
        <v>2020</v>
      </c>
      <c r="C32" s="6" t="s">
        <v>8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36529</v>
      </c>
      <c r="J32" s="9">
        <v>36529</v>
      </c>
    </row>
    <row r="33" spans="1:10" x14ac:dyDescent="0.25">
      <c r="A33" s="10">
        <v>44082</v>
      </c>
      <c r="B33" s="11">
        <v>2020</v>
      </c>
      <c r="C33" s="11" t="s">
        <v>8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33235</v>
      </c>
      <c r="J33" s="14">
        <v>33235</v>
      </c>
    </row>
    <row r="34" spans="1:10" x14ac:dyDescent="0.25">
      <c r="A34" s="5">
        <v>44084</v>
      </c>
      <c r="B34" s="6">
        <v>2020</v>
      </c>
      <c r="C34" s="6" t="s">
        <v>8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37760</v>
      </c>
      <c r="J34" s="9">
        <v>37760</v>
      </c>
    </row>
    <row r="35" spans="1:10" x14ac:dyDescent="0.25">
      <c r="A35" s="10">
        <v>44086</v>
      </c>
      <c r="B35" s="11">
        <v>2020</v>
      </c>
      <c r="C35" s="11" t="s">
        <v>8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40882</v>
      </c>
      <c r="J35" s="14">
        <v>40882</v>
      </c>
    </row>
    <row r="36" spans="1:10" x14ac:dyDescent="0.25">
      <c r="A36" s="5">
        <v>44087</v>
      </c>
      <c r="B36" s="6">
        <v>2020</v>
      </c>
      <c r="C36" s="6" t="s">
        <v>8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33554</v>
      </c>
      <c r="J36" s="9">
        <v>33554</v>
      </c>
    </row>
    <row r="37" spans="1:10" x14ac:dyDescent="0.25">
      <c r="A37" s="10">
        <v>44088</v>
      </c>
      <c r="B37" s="11">
        <v>2020</v>
      </c>
      <c r="C37" s="11" t="s">
        <v>8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41203</v>
      </c>
      <c r="J37" s="14">
        <v>41203</v>
      </c>
    </row>
    <row r="38" spans="1:10" x14ac:dyDescent="0.25">
      <c r="A38" s="5">
        <v>44098</v>
      </c>
      <c r="B38" s="6">
        <v>2020</v>
      </c>
      <c r="C38" s="6" t="s">
        <v>8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38143</v>
      </c>
      <c r="J38" s="9">
        <v>38143</v>
      </c>
    </row>
    <row r="39" spans="1:10" x14ac:dyDescent="0.25">
      <c r="A39" s="10">
        <v>44103</v>
      </c>
      <c r="B39" s="11">
        <v>2020</v>
      </c>
      <c r="C39" s="11" t="s">
        <v>8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37057</v>
      </c>
      <c r="J39" s="14">
        <v>37057</v>
      </c>
    </row>
    <row r="40" spans="1:10" x14ac:dyDescent="0.25">
      <c r="A40" s="5">
        <v>44076</v>
      </c>
      <c r="B40" s="6">
        <v>2020</v>
      </c>
      <c r="C40" s="6" t="s">
        <v>8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41275</v>
      </c>
      <c r="J40" s="9">
        <v>41275</v>
      </c>
    </row>
    <row r="41" spans="1:10" x14ac:dyDescent="0.25">
      <c r="A41" s="10">
        <v>44076</v>
      </c>
      <c r="B41" s="11">
        <v>2020</v>
      </c>
      <c r="C41" s="11" t="s">
        <v>8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40794</v>
      </c>
      <c r="J41" s="14">
        <v>40794</v>
      </c>
    </row>
    <row r="42" spans="1:10" x14ac:dyDescent="0.25">
      <c r="A42" s="5">
        <v>44080</v>
      </c>
      <c r="B42" s="6">
        <v>2020</v>
      </c>
      <c r="C42" s="6" t="s">
        <v>8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40752</v>
      </c>
      <c r="J42" s="9">
        <v>40752</v>
      </c>
    </row>
    <row r="43" spans="1:10" x14ac:dyDescent="0.25">
      <c r="A43" s="10">
        <v>44088</v>
      </c>
      <c r="B43" s="11">
        <v>2020</v>
      </c>
      <c r="C43" s="11" t="s">
        <v>8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38638</v>
      </c>
      <c r="J43" s="14">
        <v>38638</v>
      </c>
    </row>
    <row r="44" spans="1:10" x14ac:dyDescent="0.25">
      <c r="A44" s="5">
        <v>44095</v>
      </c>
      <c r="B44" s="6">
        <v>2020</v>
      </c>
      <c r="C44" s="6" t="s">
        <v>8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33091</v>
      </c>
      <c r="J44" s="9">
        <v>33091</v>
      </c>
    </row>
    <row r="45" spans="1:10" x14ac:dyDescent="0.25">
      <c r="A45" s="10">
        <v>44095</v>
      </c>
      <c r="B45" s="11">
        <v>2020</v>
      </c>
      <c r="C45" s="11" t="s">
        <v>8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37024</v>
      </c>
      <c r="J45" s="14">
        <v>37024</v>
      </c>
    </row>
    <row r="46" spans="1:10" x14ac:dyDescent="0.25">
      <c r="A46" s="5">
        <v>44097</v>
      </c>
      <c r="B46" s="6">
        <v>2020</v>
      </c>
      <c r="C46" s="6" t="s">
        <v>8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37207</v>
      </c>
      <c r="J46" s="9">
        <v>37207</v>
      </c>
    </row>
    <row r="47" spans="1:10" x14ac:dyDescent="0.25">
      <c r="A47" s="10">
        <v>44075</v>
      </c>
      <c r="B47" s="11">
        <v>2020</v>
      </c>
      <c r="C47" s="11" t="s">
        <v>8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34512</v>
      </c>
      <c r="J47" s="14">
        <v>34512</v>
      </c>
    </row>
    <row r="48" spans="1:10" x14ac:dyDescent="0.25">
      <c r="A48" s="5">
        <v>44076</v>
      </c>
      <c r="B48" s="6">
        <v>2020</v>
      </c>
      <c r="C48" s="6" t="s">
        <v>8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33637</v>
      </c>
      <c r="J48" s="9">
        <v>33637</v>
      </c>
    </row>
    <row r="49" spans="1:10" x14ac:dyDescent="0.25">
      <c r="A49" s="10">
        <v>44086</v>
      </c>
      <c r="B49" s="11">
        <v>2020</v>
      </c>
      <c r="C49" s="11" t="s">
        <v>8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39424</v>
      </c>
      <c r="J49" s="14">
        <v>39424</v>
      </c>
    </row>
    <row r="50" spans="1:10" x14ac:dyDescent="0.25">
      <c r="A50" s="5">
        <v>44086</v>
      </c>
      <c r="B50" s="6">
        <v>2020</v>
      </c>
      <c r="C50" s="6" t="s">
        <v>8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34626</v>
      </c>
      <c r="J50" s="9">
        <v>34626</v>
      </c>
    </row>
    <row r="51" spans="1:10" x14ac:dyDescent="0.25">
      <c r="A51" s="10">
        <v>44086</v>
      </c>
      <c r="B51" s="11">
        <v>2020</v>
      </c>
      <c r="C51" s="11" t="s">
        <v>8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37251</v>
      </c>
      <c r="J51" s="14">
        <v>37251</v>
      </c>
    </row>
    <row r="52" spans="1:10" x14ac:dyDescent="0.25">
      <c r="A52" s="5">
        <v>44090</v>
      </c>
      <c r="B52" s="6">
        <v>2020</v>
      </c>
      <c r="C52" s="6" t="s">
        <v>8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41698</v>
      </c>
      <c r="J52" s="9">
        <v>41698</v>
      </c>
    </row>
    <row r="53" spans="1:10" x14ac:dyDescent="0.25">
      <c r="A53" s="10">
        <v>44097</v>
      </c>
      <c r="B53" s="11">
        <v>2020</v>
      </c>
      <c r="C53" s="11" t="s">
        <v>8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35378</v>
      </c>
      <c r="J53" s="14">
        <v>35378</v>
      </c>
    </row>
    <row r="54" spans="1:10" x14ac:dyDescent="0.25">
      <c r="A54" s="5">
        <v>44102</v>
      </c>
      <c r="B54" s="6">
        <v>2020</v>
      </c>
      <c r="C54" s="6" t="s">
        <v>8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36345</v>
      </c>
      <c r="J54" s="9">
        <v>36345</v>
      </c>
    </row>
    <row r="55" spans="1:10" x14ac:dyDescent="0.25">
      <c r="A55" s="10">
        <v>44103</v>
      </c>
      <c r="B55" s="11">
        <v>2020</v>
      </c>
      <c r="C55" s="11" t="s">
        <v>8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37021</v>
      </c>
      <c r="J55" s="14">
        <v>37021</v>
      </c>
    </row>
    <row r="56" spans="1:10" x14ac:dyDescent="0.25">
      <c r="A56" s="5">
        <v>44086</v>
      </c>
      <c r="B56" s="6">
        <v>2020</v>
      </c>
      <c r="C56" s="6" t="s">
        <v>8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36802</v>
      </c>
      <c r="J56" s="9">
        <v>36802</v>
      </c>
    </row>
    <row r="57" spans="1:10" x14ac:dyDescent="0.25">
      <c r="A57" s="10">
        <v>44086</v>
      </c>
      <c r="B57" s="11">
        <v>2020</v>
      </c>
      <c r="C57" s="11" t="s">
        <v>8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34869</v>
      </c>
      <c r="J57" s="14">
        <v>34869</v>
      </c>
    </row>
    <row r="58" spans="1:10" x14ac:dyDescent="0.25">
      <c r="A58" s="5">
        <v>44086</v>
      </c>
      <c r="B58" s="6">
        <v>2020</v>
      </c>
      <c r="C58" s="6" t="s">
        <v>8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33080</v>
      </c>
      <c r="J58" s="9">
        <v>33080</v>
      </c>
    </row>
    <row r="59" spans="1:10" x14ac:dyDescent="0.25">
      <c r="A59" s="10">
        <v>44087</v>
      </c>
      <c r="B59" s="11">
        <v>2020</v>
      </c>
      <c r="C59" s="11" t="s">
        <v>8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35556</v>
      </c>
      <c r="J59" s="14">
        <v>35556</v>
      </c>
    </row>
    <row r="60" spans="1:10" x14ac:dyDescent="0.25">
      <c r="A60" s="5">
        <v>44090</v>
      </c>
      <c r="B60" s="6">
        <v>2020</v>
      </c>
      <c r="C60" s="6" t="s">
        <v>8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37551</v>
      </c>
      <c r="J60" s="9">
        <v>37551</v>
      </c>
    </row>
    <row r="61" spans="1:10" x14ac:dyDescent="0.25">
      <c r="A61" s="10">
        <v>44075</v>
      </c>
      <c r="B61" s="11">
        <v>2020</v>
      </c>
      <c r="C61" s="11" t="s">
        <v>8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38467</v>
      </c>
      <c r="J61" s="14">
        <v>38467</v>
      </c>
    </row>
    <row r="62" spans="1:10" x14ac:dyDescent="0.25">
      <c r="A62" s="5">
        <v>44076</v>
      </c>
      <c r="B62" s="6">
        <v>2020</v>
      </c>
      <c r="C62" s="6" t="s">
        <v>8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34208</v>
      </c>
      <c r="J62" s="9">
        <v>34208</v>
      </c>
    </row>
    <row r="63" spans="1:10" x14ac:dyDescent="0.25">
      <c r="A63" s="10">
        <v>44079</v>
      </c>
      <c r="B63" s="11">
        <v>2020</v>
      </c>
      <c r="C63" s="11" t="s">
        <v>8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36235</v>
      </c>
      <c r="J63" s="14">
        <v>36235</v>
      </c>
    </row>
    <row r="64" spans="1:10" x14ac:dyDescent="0.25">
      <c r="A64" s="5">
        <v>44088</v>
      </c>
      <c r="B64" s="6">
        <v>2020</v>
      </c>
      <c r="C64" s="6" t="s">
        <v>8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37904</v>
      </c>
      <c r="J64" s="9">
        <v>37904</v>
      </c>
    </row>
    <row r="65" spans="1:10" x14ac:dyDescent="0.25">
      <c r="A65" s="10">
        <v>44099</v>
      </c>
      <c r="B65" s="11">
        <v>2020</v>
      </c>
      <c r="C65" s="11" t="s">
        <v>8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39677</v>
      </c>
      <c r="J65" s="14">
        <v>39677</v>
      </c>
    </row>
    <row r="66" spans="1:10" x14ac:dyDescent="0.25">
      <c r="A66" s="5">
        <v>44076</v>
      </c>
      <c r="B66" s="6">
        <v>2020</v>
      </c>
      <c r="C66" s="6" t="s">
        <v>8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33799</v>
      </c>
      <c r="J66" s="9">
        <v>33799</v>
      </c>
    </row>
    <row r="67" spans="1:10" x14ac:dyDescent="0.25">
      <c r="A67" s="10">
        <v>44086</v>
      </c>
      <c r="B67" s="11">
        <v>2020</v>
      </c>
      <c r="C67" s="11" t="s">
        <v>8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41993</v>
      </c>
      <c r="J67" s="14">
        <v>41993</v>
      </c>
    </row>
    <row r="68" spans="1:10" x14ac:dyDescent="0.25">
      <c r="A68" s="5">
        <v>44091</v>
      </c>
      <c r="B68" s="6">
        <v>2020</v>
      </c>
      <c r="C68" s="6" t="s">
        <v>8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36746</v>
      </c>
      <c r="J68" s="9">
        <v>36746</v>
      </c>
    </row>
    <row r="69" spans="1:10" x14ac:dyDescent="0.25">
      <c r="A69" s="10">
        <v>44075</v>
      </c>
      <c r="B69" s="11">
        <v>2020</v>
      </c>
      <c r="C69" s="11" t="s">
        <v>8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35803</v>
      </c>
      <c r="J69" s="14">
        <v>35803</v>
      </c>
    </row>
    <row r="70" spans="1:10" x14ac:dyDescent="0.25">
      <c r="A70" s="5">
        <v>44092</v>
      </c>
      <c r="B70" s="6">
        <v>2020</v>
      </c>
      <c r="C70" s="6" t="s">
        <v>8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39511</v>
      </c>
      <c r="J70" s="9">
        <v>39511</v>
      </c>
    </row>
    <row r="71" spans="1:10" x14ac:dyDescent="0.25">
      <c r="A71" s="10">
        <v>44094</v>
      </c>
      <c r="B71" s="11">
        <v>2020</v>
      </c>
      <c r="C71" s="11" t="s">
        <v>8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33925</v>
      </c>
      <c r="J71" s="14">
        <v>33925</v>
      </c>
    </row>
    <row r="72" spans="1:10" x14ac:dyDescent="0.25">
      <c r="A72" s="5">
        <v>44085</v>
      </c>
      <c r="B72" s="6">
        <v>2020</v>
      </c>
      <c r="C72" s="6" t="s">
        <v>8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40626</v>
      </c>
      <c r="J72" s="9">
        <v>40626</v>
      </c>
    </row>
    <row r="73" spans="1:10" x14ac:dyDescent="0.25">
      <c r="A73" s="10">
        <v>44086</v>
      </c>
      <c r="B73" s="11">
        <v>2020</v>
      </c>
      <c r="C73" s="11" t="s">
        <v>8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37610</v>
      </c>
      <c r="J73" s="14">
        <v>37610</v>
      </c>
    </row>
    <row r="74" spans="1:10" x14ac:dyDescent="0.25">
      <c r="A74" s="15">
        <v>44089</v>
      </c>
      <c r="B74" s="16">
        <v>2020</v>
      </c>
      <c r="C74" s="16" t="s">
        <v>8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41912</v>
      </c>
      <c r="J74" s="19">
        <v>41912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61B0-0B77-43B4-A929-35D3B9B3A43A}">
  <sheetPr codeName="Sheet10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44106</v>
      </c>
      <c r="B2" s="6">
        <v>2020</v>
      </c>
      <c r="C2" s="6" t="s">
        <v>32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30027</v>
      </c>
      <c r="J2" s="9">
        <v>30027</v>
      </c>
      <c r="L2" t="s">
        <v>29</v>
      </c>
      <c r="M2" s="1">
        <f>AVERAGE('October 2020'!$I$2:$I$74)</f>
        <v>34776.246575342462</v>
      </c>
    </row>
    <row r="3" spans="1:13" x14ac:dyDescent="0.25">
      <c r="A3" s="10">
        <v>44106</v>
      </c>
      <c r="B3" s="11">
        <v>2020</v>
      </c>
      <c r="C3" s="11" t="s">
        <v>32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38917</v>
      </c>
      <c r="J3" s="14">
        <v>38917</v>
      </c>
    </row>
    <row r="4" spans="1:13" x14ac:dyDescent="0.25">
      <c r="A4" s="5">
        <v>44108</v>
      </c>
      <c r="B4" s="6">
        <v>2020</v>
      </c>
      <c r="C4" s="6" t="s">
        <v>32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37653</v>
      </c>
      <c r="J4" s="9">
        <v>37653</v>
      </c>
    </row>
    <row r="5" spans="1:13" x14ac:dyDescent="0.25">
      <c r="A5" s="10">
        <v>44116</v>
      </c>
      <c r="B5" s="11">
        <v>2020</v>
      </c>
      <c r="C5" s="11" t="s">
        <v>32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39360</v>
      </c>
      <c r="J5" s="14">
        <v>39360</v>
      </c>
    </row>
    <row r="6" spans="1:13" x14ac:dyDescent="0.25">
      <c r="A6" s="5">
        <v>44126</v>
      </c>
      <c r="B6" s="6">
        <v>2020</v>
      </c>
      <c r="C6" s="6" t="s">
        <v>32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41353</v>
      </c>
      <c r="J6" s="9">
        <v>41353</v>
      </c>
    </row>
    <row r="7" spans="1:13" x14ac:dyDescent="0.25">
      <c r="A7" s="10">
        <v>44130</v>
      </c>
      <c r="B7" s="11">
        <v>2020</v>
      </c>
      <c r="C7" s="11" t="s">
        <v>32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30900</v>
      </c>
      <c r="J7" s="14">
        <v>30900</v>
      </c>
    </row>
    <row r="8" spans="1:13" x14ac:dyDescent="0.25">
      <c r="A8" s="5">
        <v>44132</v>
      </c>
      <c r="B8" s="6">
        <v>2020</v>
      </c>
      <c r="C8" s="6" t="s">
        <v>32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40227</v>
      </c>
      <c r="J8" s="9">
        <v>40227</v>
      </c>
    </row>
    <row r="9" spans="1:13" x14ac:dyDescent="0.25">
      <c r="A9" s="10">
        <v>44135</v>
      </c>
      <c r="B9" s="11">
        <v>2020</v>
      </c>
      <c r="C9" s="11" t="s">
        <v>32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35371</v>
      </c>
      <c r="J9" s="14">
        <v>35371</v>
      </c>
    </row>
    <row r="10" spans="1:13" x14ac:dyDescent="0.25">
      <c r="A10" s="5">
        <v>44106</v>
      </c>
      <c r="B10" s="6">
        <v>2020</v>
      </c>
      <c r="C10" s="6" t="s">
        <v>32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36015</v>
      </c>
      <c r="J10" s="9">
        <v>36015</v>
      </c>
    </row>
    <row r="11" spans="1:13" x14ac:dyDescent="0.25">
      <c r="A11" s="10">
        <v>44106</v>
      </c>
      <c r="B11" s="11">
        <v>2020</v>
      </c>
      <c r="C11" s="11" t="s">
        <v>32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38766</v>
      </c>
      <c r="J11" s="14">
        <v>77532</v>
      </c>
    </row>
    <row r="12" spans="1:13" x14ac:dyDescent="0.25">
      <c r="A12" s="5">
        <v>44106</v>
      </c>
      <c r="B12" s="6">
        <v>2020</v>
      </c>
      <c r="C12" s="6" t="s">
        <v>32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34091</v>
      </c>
      <c r="J12" s="9">
        <v>34091</v>
      </c>
    </row>
    <row r="13" spans="1:13" x14ac:dyDescent="0.25">
      <c r="A13" s="10">
        <v>44108</v>
      </c>
      <c r="B13" s="11">
        <v>2020</v>
      </c>
      <c r="C13" s="11" t="s">
        <v>32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28439</v>
      </c>
      <c r="J13" s="14">
        <v>28439</v>
      </c>
    </row>
    <row r="14" spans="1:13" x14ac:dyDescent="0.25">
      <c r="A14" s="5">
        <v>44109</v>
      </c>
      <c r="B14" s="6">
        <v>2020</v>
      </c>
      <c r="C14" s="6" t="s">
        <v>32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38151</v>
      </c>
      <c r="J14" s="9">
        <v>38151</v>
      </c>
    </row>
    <row r="15" spans="1:13" x14ac:dyDescent="0.25">
      <c r="A15" s="10">
        <v>44113</v>
      </c>
      <c r="B15" s="11">
        <v>2020</v>
      </c>
      <c r="C15" s="11" t="s">
        <v>32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34914</v>
      </c>
      <c r="J15" s="14">
        <v>34914</v>
      </c>
    </row>
    <row r="16" spans="1:13" x14ac:dyDescent="0.25">
      <c r="A16" s="5">
        <v>44118</v>
      </c>
      <c r="B16" s="6">
        <v>2020</v>
      </c>
      <c r="C16" s="6" t="s">
        <v>32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35705</v>
      </c>
      <c r="J16" s="9">
        <v>35705</v>
      </c>
    </row>
    <row r="17" spans="1:10" x14ac:dyDescent="0.25">
      <c r="A17" s="10">
        <v>44120</v>
      </c>
      <c r="B17" s="11">
        <v>2020</v>
      </c>
      <c r="C17" s="11" t="s">
        <v>32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29475</v>
      </c>
      <c r="J17" s="14">
        <v>29475</v>
      </c>
    </row>
    <row r="18" spans="1:10" x14ac:dyDescent="0.25">
      <c r="A18" s="5">
        <v>44123</v>
      </c>
      <c r="B18" s="6">
        <v>2020</v>
      </c>
      <c r="C18" s="6" t="s">
        <v>32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34733</v>
      </c>
      <c r="J18" s="9">
        <v>34733</v>
      </c>
    </row>
    <row r="19" spans="1:10" x14ac:dyDescent="0.25">
      <c r="A19" s="10">
        <v>44125</v>
      </c>
      <c r="B19" s="11">
        <v>2020</v>
      </c>
      <c r="C19" s="11" t="s">
        <v>32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33925</v>
      </c>
      <c r="J19" s="14">
        <v>33925</v>
      </c>
    </row>
    <row r="20" spans="1:10" x14ac:dyDescent="0.25">
      <c r="A20" s="5">
        <v>44127</v>
      </c>
      <c r="B20" s="6">
        <v>2020</v>
      </c>
      <c r="C20" s="6" t="s">
        <v>32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36434</v>
      </c>
      <c r="J20" s="9">
        <v>36434</v>
      </c>
    </row>
    <row r="21" spans="1:10" x14ac:dyDescent="0.25">
      <c r="A21" s="10">
        <v>44134</v>
      </c>
      <c r="B21" s="11">
        <v>2020</v>
      </c>
      <c r="C21" s="11" t="s">
        <v>32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31443</v>
      </c>
      <c r="J21" s="14">
        <v>31443</v>
      </c>
    </row>
    <row r="22" spans="1:10" x14ac:dyDescent="0.25">
      <c r="A22" s="5">
        <v>44106</v>
      </c>
      <c r="B22" s="6">
        <v>2020</v>
      </c>
      <c r="C22" s="6" t="s">
        <v>32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35519</v>
      </c>
      <c r="J22" s="9">
        <v>35519</v>
      </c>
    </row>
    <row r="23" spans="1:10" x14ac:dyDescent="0.25">
      <c r="A23" s="10">
        <v>44107</v>
      </c>
      <c r="B23" s="11">
        <v>2020</v>
      </c>
      <c r="C23" s="11" t="s">
        <v>32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31038</v>
      </c>
      <c r="J23" s="14">
        <v>31038</v>
      </c>
    </row>
    <row r="24" spans="1:10" x14ac:dyDescent="0.25">
      <c r="A24" s="5">
        <v>44108</v>
      </c>
      <c r="B24" s="6">
        <v>2020</v>
      </c>
      <c r="C24" s="6" t="s">
        <v>32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30297</v>
      </c>
      <c r="J24" s="9">
        <v>30297</v>
      </c>
    </row>
    <row r="25" spans="1:10" x14ac:dyDescent="0.25">
      <c r="A25" s="10">
        <v>44111</v>
      </c>
      <c r="B25" s="11">
        <v>2020</v>
      </c>
      <c r="C25" s="11" t="s">
        <v>32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28079</v>
      </c>
      <c r="J25" s="14">
        <v>28079</v>
      </c>
    </row>
    <row r="26" spans="1:10" x14ac:dyDescent="0.25">
      <c r="A26" s="5">
        <v>44116</v>
      </c>
      <c r="B26" s="6">
        <v>2020</v>
      </c>
      <c r="C26" s="6" t="s">
        <v>32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40132</v>
      </c>
      <c r="J26" s="9">
        <v>40132</v>
      </c>
    </row>
    <row r="27" spans="1:10" x14ac:dyDescent="0.25">
      <c r="A27" s="10">
        <v>44128</v>
      </c>
      <c r="B27" s="11">
        <v>2020</v>
      </c>
      <c r="C27" s="11" t="s">
        <v>32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35868</v>
      </c>
      <c r="J27" s="14">
        <v>71736</v>
      </c>
    </row>
    <row r="28" spans="1:10" x14ac:dyDescent="0.25">
      <c r="A28" s="5">
        <v>44128</v>
      </c>
      <c r="B28" s="6">
        <v>2020</v>
      </c>
      <c r="C28" s="6" t="s">
        <v>32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32904</v>
      </c>
      <c r="J28" s="9">
        <v>32904</v>
      </c>
    </row>
    <row r="29" spans="1:10" x14ac:dyDescent="0.25">
      <c r="A29" s="10">
        <v>44131</v>
      </c>
      <c r="B29" s="11">
        <v>2020</v>
      </c>
      <c r="C29" s="11" t="s">
        <v>32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30487</v>
      </c>
      <c r="J29" s="14">
        <v>30487</v>
      </c>
    </row>
    <row r="30" spans="1:10" x14ac:dyDescent="0.25">
      <c r="A30" s="5">
        <v>44133</v>
      </c>
      <c r="B30" s="6">
        <v>2020</v>
      </c>
      <c r="C30" s="6" t="s">
        <v>32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31820</v>
      </c>
      <c r="J30" s="9">
        <v>31820</v>
      </c>
    </row>
    <row r="31" spans="1:10" x14ac:dyDescent="0.25">
      <c r="A31" s="10">
        <v>44108</v>
      </c>
      <c r="B31" s="11">
        <v>2020</v>
      </c>
      <c r="C31" s="11" t="s">
        <v>32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37462</v>
      </c>
      <c r="J31" s="14">
        <v>37462</v>
      </c>
    </row>
    <row r="32" spans="1:10" x14ac:dyDescent="0.25">
      <c r="A32" s="5">
        <v>44110</v>
      </c>
      <c r="B32" s="6">
        <v>2020</v>
      </c>
      <c r="C32" s="6" t="s">
        <v>32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41072</v>
      </c>
      <c r="J32" s="9">
        <v>41072</v>
      </c>
    </row>
    <row r="33" spans="1:10" x14ac:dyDescent="0.25">
      <c r="A33" s="10">
        <v>44112</v>
      </c>
      <c r="B33" s="11">
        <v>2020</v>
      </c>
      <c r="C33" s="11" t="s">
        <v>32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37048</v>
      </c>
      <c r="J33" s="14">
        <v>37048</v>
      </c>
    </row>
    <row r="34" spans="1:10" x14ac:dyDescent="0.25">
      <c r="A34" s="5">
        <v>44114</v>
      </c>
      <c r="B34" s="6">
        <v>2020</v>
      </c>
      <c r="C34" s="6" t="s">
        <v>32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34145</v>
      </c>
      <c r="J34" s="9">
        <v>34145</v>
      </c>
    </row>
    <row r="35" spans="1:10" x14ac:dyDescent="0.25">
      <c r="A35" s="10">
        <v>44116</v>
      </c>
      <c r="B35" s="11">
        <v>2020</v>
      </c>
      <c r="C35" s="11" t="s">
        <v>32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33948</v>
      </c>
      <c r="J35" s="14">
        <v>33948</v>
      </c>
    </row>
    <row r="36" spans="1:10" x14ac:dyDescent="0.25">
      <c r="A36" s="5">
        <v>44117</v>
      </c>
      <c r="B36" s="6">
        <v>2020</v>
      </c>
      <c r="C36" s="6" t="s">
        <v>32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39082</v>
      </c>
      <c r="J36" s="9">
        <v>39082</v>
      </c>
    </row>
    <row r="37" spans="1:10" x14ac:dyDescent="0.25">
      <c r="A37" s="10">
        <v>44118</v>
      </c>
      <c r="B37" s="11">
        <v>2020</v>
      </c>
      <c r="C37" s="11" t="s">
        <v>32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39256</v>
      </c>
      <c r="J37" s="14">
        <v>39256</v>
      </c>
    </row>
    <row r="38" spans="1:10" x14ac:dyDescent="0.25">
      <c r="A38" s="5">
        <v>44128</v>
      </c>
      <c r="B38" s="6">
        <v>2020</v>
      </c>
      <c r="C38" s="6" t="s">
        <v>32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36654</v>
      </c>
      <c r="J38" s="9">
        <v>36654</v>
      </c>
    </row>
    <row r="39" spans="1:10" x14ac:dyDescent="0.25">
      <c r="A39" s="10">
        <v>44133</v>
      </c>
      <c r="B39" s="11">
        <v>2020</v>
      </c>
      <c r="C39" s="11" t="s">
        <v>32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28202</v>
      </c>
      <c r="J39" s="14">
        <v>28202</v>
      </c>
    </row>
    <row r="40" spans="1:10" x14ac:dyDescent="0.25">
      <c r="A40" s="5">
        <v>44106</v>
      </c>
      <c r="B40" s="6">
        <v>2020</v>
      </c>
      <c r="C40" s="6" t="s">
        <v>32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39896</v>
      </c>
      <c r="J40" s="9">
        <v>39896</v>
      </c>
    </row>
    <row r="41" spans="1:10" x14ac:dyDescent="0.25">
      <c r="A41" s="10">
        <v>44106</v>
      </c>
      <c r="B41" s="11">
        <v>2020</v>
      </c>
      <c r="C41" s="11" t="s">
        <v>32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28528</v>
      </c>
      <c r="J41" s="14">
        <v>28528</v>
      </c>
    </row>
    <row r="42" spans="1:10" x14ac:dyDescent="0.25">
      <c r="A42" s="5">
        <v>44110</v>
      </c>
      <c r="B42" s="6">
        <v>2020</v>
      </c>
      <c r="C42" s="6" t="s">
        <v>32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39412</v>
      </c>
      <c r="J42" s="9">
        <v>39412</v>
      </c>
    </row>
    <row r="43" spans="1:10" x14ac:dyDescent="0.25">
      <c r="A43" s="10">
        <v>44118</v>
      </c>
      <c r="B43" s="11">
        <v>2020</v>
      </c>
      <c r="C43" s="11" t="s">
        <v>32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40280</v>
      </c>
      <c r="J43" s="14">
        <v>40280</v>
      </c>
    </row>
    <row r="44" spans="1:10" x14ac:dyDescent="0.25">
      <c r="A44" s="5">
        <v>44125</v>
      </c>
      <c r="B44" s="6">
        <v>2020</v>
      </c>
      <c r="C44" s="6" t="s">
        <v>32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30130</v>
      </c>
      <c r="J44" s="9">
        <v>30130</v>
      </c>
    </row>
    <row r="45" spans="1:10" x14ac:dyDescent="0.25">
      <c r="A45" s="10">
        <v>44125</v>
      </c>
      <c r="B45" s="11">
        <v>2020</v>
      </c>
      <c r="C45" s="11" t="s">
        <v>32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31650</v>
      </c>
      <c r="J45" s="14">
        <v>31650</v>
      </c>
    </row>
    <row r="46" spans="1:10" x14ac:dyDescent="0.25">
      <c r="A46" s="5">
        <v>44127</v>
      </c>
      <c r="B46" s="6">
        <v>2020</v>
      </c>
      <c r="C46" s="6" t="s">
        <v>32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38525</v>
      </c>
      <c r="J46" s="9">
        <v>38525</v>
      </c>
    </row>
    <row r="47" spans="1:10" x14ac:dyDescent="0.25">
      <c r="A47" s="10">
        <v>44105</v>
      </c>
      <c r="B47" s="11">
        <v>2020</v>
      </c>
      <c r="C47" s="11" t="s">
        <v>32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31705</v>
      </c>
      <c r="J47" s="14">
        <v>31705</v>
      </c>
    </row>
    <row r="48" spans="1:10" x14ac:dyDescent="0.25">
      <c r="A48" s="5">
        <v>44106</v>
      </c>
      <c r="B48" s="6">
        <v>2020</v>
      </c>
      <c r="C48" s="6" t="s">
        <v>32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38847</v>
      </c>
      <c r="J48" s="9">
        <v>38847</v>
      </c>
    </row>
    <row r="49" spans="1:10" x14ac:dyDescent="0.25">
      <c r="A49" s="10">
        <v>44116</v>
      </c>
      <c r="B49" s="11">
        <v>2020</v>
      </c>
      <c r="C49" s="11" t="s">
        <v>32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29917</v>
      </c>
      <c r="J49" s="14">
        <v>29917</v>
      </c>
    </row>
    <row r="50" spans="1:10" x14ac:dyDescent="0.25">
      <c r="A50" s="5">
        <v>44116</v>
      </c>
      <c r="B50" s="6">
        <v>2020</v>
      </c>
      <c r="C50" s="6" t="s">
        <v>32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30761</v>
      </c>
      <c r="J50" s="9">
        <v>30761</v>
      </c>
    </row>
    <row r="51" spans="1:10" x14ac:dyDescent="0.25">
      <c r="A51" s="10">
        <v>44116</v>
      </c>
      <c r="B51" s="11">
        <v>2020</v>
      </c>
      <c r="C51" s="11" t="s">
        <v>32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31357</v>
      </c>
      <c r="J51" s="14">
        <v>31357</v>
      </c>
    </row>
    <row r="52" spans="1:10" x14ac:dyDescent="0.25">
      <c r="A52" s="5">
        <v>44120</v>
      </c>
      <c r="B52" s="6">
        <v>2020</v>
      </c>
      <c r="C52" s="6" t="s">
        <v>32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36030</v>
      </c>
      <c r="J52" s="9">
        <v>36030</v>
      </c>
    </row>
    <row r="53" spans="1:10" x14ac:dyDescent="0.25">
      <c r="A53" s="10">
        <v>44127</v>
      </c>
      <c r="B53" s="11">
        <v>2020</v>
      </c>
      <c r="C53" s="11" t="s">
        <v>32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36674</v>
      </c>
      <c r="J53" s="14">
        <v>36674</v>
      </c>
    </row>
    <row r="54" spans="1:10" x14ac:dyDescent="0.25">
      <c r="A54" s="5">
        <v>44132</v>
      </c>
      <c r="B54" s="6">
        <v>2020</v>
      </c>
      <c r="C54" s="6" t="s">
        <v>32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34716</v>
      </c>
      <c r="J54" s="9">
        <v>34716</v>
      </c>
    </row>
    <row r="55" spans="1:10" x14ac:dyDescent="0.25">
      <c r="A55" s="10">
        <v>44133</v>
      </c>
      <c r="B55" s="11">
        <v>2020</v>
      </c>
      <c r="C55" s="11" t="s">
        <v>32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38558</v>
      </c>
      <c r="J55" s="14">
        <v>38558</v>
      </c>
    </row>
    <row r="56" spans="1:10" x14ac:dyDescent="0.25">
      <c r="A56" s="5">
        <v>44116</v>
      </c>
      <c r="B56" s="6">
        <v>2020</v>
      </c>
      <c r="C56" s="6" t="s">
        <v>32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31899</v>
      </c>
      <c r="J56" s="9">
        <v>31899</v>
      </c>
    </row>
    <row r="57" spans="1:10" x14ac:dyDescent="0.25">
      <c r="A57" s="10">
        <v>44116</v>
      </c>
      <c r="B57" s="11">
        <v>2020</v>
      </c>
      <c r="C57" s="11" t="s">
        <v>32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31182</v>
      </c>
      <c r="J57" s="14">
        <v>31182</v>
      </c>
    </row>
    <row r="58" spans="1:10" x14ac:dyDescent="0.25">
      <c r="A58" s="5">
        <v>44116</v>
      </c>
      <c r="B58" s="6">
        <v>2020</v>
      </c>
      <c r="C58" s="6" t="s">
        <v>32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41644</v>
      </c>
      <c r="J58" s="9">
        <v>41644</v>
      </c>
    </row>
    <row r="59" spans="1:10" x14ac:dyDescent="0.25">
      <c r="A59" s="10">
        <v>44117</v>
      </c>
      <c r="B59" s="11">
        <v>2020</v>
      </c>
      <c r="C59" s="11" t="s">
        <v>32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38364</v>
      </c>
      <c r="J59" s="14">
        <v>38364</v>
      </c>
    </row>
    <row r="60" spans="1:10" x14ac:dyDescent="0.25">
      <c r="A60" s="5">
        <v>44120</v>
      </c>
      <c r="B60" s="6">
        <v>2020</v>
      </c>
      <c r="C60" s="6" t="s">
        <v>32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31227</v>
      </c>
      <c r="J60" s="9">
        <v>31227</v>
      </c>
    </row>
    <row r="61" spans="1:10" x14ac:dyDescent="0.25">
      <c r="A61" s="10">
        <v>44105</v>
      </c>
      <c r="B61" s="11">
        <v>2020</v>
      </c>
      <c r="C61" s="11" t="s">
        <v>32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37240</v>
      </c>
      <c r="J61" s="14">
        <v>37240</v>
      </c>
    </row>
    <row r="62" spans="1:10" x14ac:dyDescent="0.25">
      <c r="A62" s="5">
        <v>44106</v>
      </c>
      <c r="B62" s="6">
        <v>2020</v>
      </c>
      <c r="C62" s="6" t="s">
        <v>32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31060</v>
      </c>
      <c r="J62" s="9">
        <v>31060</v>
      </c>
    </row>
    <row r="63" spans="1:10" x14ac:dyDescent="0.25">
      <c r="A63" s="10">
        <v>44109</v>
      </c>
      <c r="B63" s="11">
        <v>2020</v>
      </c>
      <c r="C63" s="11" t="s">
        <v>32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28158</v>
      </c>
      <c r="J63" s="14">
        <v>28158</v>
      </c>
    </row>
    <row r="64" spans="1:10" x14ac:dyDescent="0.25">
      <c r="A64" s="5">
        <v>44118</v>
      </c>
      <c r="B64" s="6">
        <v>2020</v>
      </c>
      <c r="C64" s="6" t="s">
        <v>32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31671</v>
      </c>
      <c r="J64" s="9">
        <v>31671</v>
      </c>
    </row>
    <row r="65" spans="1:10" x14ac:dyDescent="0.25">
      <c r="A65" s="10">
        <v>44129</v>
      </c>
      <c r="B65" s="11">
        <v>2020</v>
      </c>
      <c r="C65" s="11" t="s">
        <v>32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33843</v>
      </c>
      <c r="J65" s="14">
        <v>33843</v>
      </c>
    </row>
    <row r="66" spans="1:10" x14ac:dyDescent="0.25">
      <c r="A66" s="5">
        <v>44106</v>
      </c>
      <c r="B66" s="6">
        <v>2020</v>
      </c>
      <c r="C66" s="6" t="s">
        <v>32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39324</v>
      </c>
      <c r="J66" s="9">
        <v>39324</v>
      </c>
    </row>
    <row r="67" spans="1:10" x14ac:dyDescent="0.25">
      <c r="A67" s="10">
        <v>44116</v>
      </c>
      <c r="B67" s="11">
        <v>2020</v>
      </c>
      <c r="C67" s="11" t="s">
        <v>32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29402</v>
      </c>
      <c r="J67" s="14">
        <v>29402</v>
      </c>
    </row>
    <row r="68" spans="1:10" x14ac:dyDescent="0.25">
      <c r="A68" s="5">
        <v>44121</v>
      </c>
      <c r="B68" s="6">
        <v>2020</v>
      </c>
      <c r="C68" s="6" t="s">
        <v>32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41475</v>
      </c>
      <c r="J68" s="9">
        <v>41475</v>
      </c>
    </row>
    <row r="69" spans="1:10" x14ac:dyDescent="0.25">
      <c r="A69" s="10">
        <v>44105</v>
      </c>
      <c r="B69" s="11">
        <v>2020</v>
      </c>
      <c r="C69" s="11" t="s">
        <v>32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40762</v>
      </c>
      <c r="J69" s="14">
        <v>40762</v>
      </c>
    </row>
    <row r="70" spans="1:10" x14ac:dyDescent="0.25">
      <c r="A70" s="5">
        <v>44122</v>
      </c>
      <c r="B70" s="6">
        <v>2020</v>
      </c>
      <c r="C70" s="6" t="s">
        <v>32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29804</v>
      </c>
      <c r="J70" s="9">
        <v>29804</v>
      </c>
    </row>
    <row r="71" spans="1:10" x14ac:dyDescent="0.25">
      <c r="A71" s="10">
        <v>44124</v>
      </c>
      <c r="B71" s="11">
        <v>2020</v>
      </c>
      <c r="C71" s="11" t="s">
        <v>32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30025</v>
      </c>
      <c r="J71" s="14">
        <v>30025</v>
      </c>
    </row>
    <row r="72" spans="1:10" x14ac:dyDescent="0.25">
      <c r="A72" s="5">
        <v>44115</v>
      </c>
      <c r="B72" s="6">
        <v>2020</v>
      </c>
      <c r="C72" s="6" t="s">
        <v>32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33756</v>
      </c>
      <c r="J72" s="9">
        <v>33756</v>
      </c>
    </row>
    <row r="73" spans="1:10" x14ac:dyDescent="0.25">
      <c r="A73" s="10">
        <v>44116</v>
      </c>
      <c r="B73" s="11">
        <v>2020</v>
      </c>
      <c r="C73" s="11" t="s">
        <v>32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30743</v>
      </c>
      <c r="J73" s="14">
        <v>30743</v>
      </c>
    </row>
    <row r="74" spans="1:10" x14ac:dyDescent="0.25">
      <c r="A74" s="15">
        <v>44119</v>
      </c>
      <c r="B74" s="16">
        <v>2020</v>
      </c>
      <c r="C74" s="16" t="s">
        <v>32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41189</v>
      </c>
      <c r="J74" s="19">
        <v>41189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4061-2F5C-46C8-ACAD-2A6D07FB8BA4}">
  <sheetPr codeName="Sheet11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44137</v>
      </c>
      <c r="B2" s="6">
        <v>2020</v>
      </c>
      <c r="C2" s="6" t="s">
        <v>33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38382</v>
      </c>
      <c r="J2" s="9">
        <v>38382</v>
      </c>
      <c r="L2" t="s">
        <v>29</v>
      </c>
      <c r="M2" s="1">
        <f>AVERAGE('November 2020'!$I$2:$I$74)</f>
        <v>35679.383561643837</v>
      </c>
    </row>
    <row r="3" spans="1:13" x14ac:dyDescent="0.25">
      <c r="A3" s="10">
        <v>44137</v>
      </c>
      <c r="B3" s="11">
        <v>2020</v>
      </c>
      <c r="C3" s="11" t="s">
        <v>33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35831</v>
      </c>
      <c r="J3" s="14">
        <v>35831</v>
      </c>
    </row>
    <row r="4" spans="1:13" x14ac:dyDescent="0.25">
      <c r="A4" s="5">
        <v>44139</v>
      </c>
      <c r="B4" s="6">
        <v>2020</v>
      </c>
      <c r="C4" s="6" t="s">
        <v>33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37959</v>
      </c>
      <c r="J4" s="9">
        <v>37959</v>
      </c>
    </row>
    <row r="5" spans="1:13" x14ac:dyDescent="0.25">
      <c r="A5" s="10">
        <v>44147</v>
      </c>
      <c r="B5" s="11">
        <v>2020</v>
      </c>
      <c r="C5" s="11" t="s">
        <v>33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31134</v>
      </c>
      <c r="J5" s="14">
        <v>31134</v>
      </c>
    </row>
    <row r="6" spans="1:13" x14ac:dyDescent="0.25">
      <c r="A6" s="5">
        <v>44157</v>
      </c>
      <c r="B6" s="6">
        <v>2020</v>
      </c>
      <c r="C6" s="6" t="s">
        <v>33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35743</v>
      </c>
      <c r="J6" s="9">
        <v>35743</v>
      </c>
    </row>
    <row r="7" spans="1:13" x14ac:dyDescent="0.25">
      <c r="A7" s="10">
        <v>44161</v>
      </c>
      <c r="B7" s="11">
        <v>2020</v>
      </c>
      <c r="C7" s="11" t="s">
        <v>33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38308</v>
      </c>
      <c r="J7" s="14">
        <v>38308</v>
      </c>
    </row>
    <row r="8" spans="1:13" x14ac:dyDescent="0.25">
      <c r="A8" s="5">
        <v>44163</v>
      </c>
      <c r="B8" s="6">
        <v>2020</v>
      </c>
      <c r="C8" s="6" t="s">
        <v>33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34087</v>
      </c>
      <c r="J8" s="9">
        <v>34087</v>
      </c>
    </row>
    <row r="9" spans="1:13" x14ac:dyDescent="0.25">
      <c r="A9" s="10">
        <v>44165</v>
      </c>
      <c r="B9" s="11">
        <v>2020</v>
      </c>
      <c r="C9" s="11" t="s">
        <v>33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37947</v>
      </c>
      <c r="J9" s="14">
        <v>37947</v>
      </c>
    </row>
    <row r="10" spans="1:13" x14ac:dyDescent="0.25">
      <c r="A10" s="5">
        <v>44137</v>
      </c>
      <c r="B10" s="6">
        <v>2020</v>
      </c>
      <c r="C10" s="6" t="s">
        <v>33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35288</v>
      </c>
      <c r="J10" s="9">
        <v>35288</v>
      </c>
    </row>
    <row r="11" spans="1:13" x14ac:dyDescent="0.25">
      <c r="A11" s="10">
        <v>44137</v>
      </c>
      <c r="B11" s="11">
        <v>2020</v>
      </c>
      <c r="C11" s="11" t="s">
        <v>33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35309</v>
      </c>
      <c r="J11" s="14">
        <v>70618</v>
      </c>
    </row>
    <row r="12" spans="1:13" x14ac:dyDescent="0.25">
      <c r="A12" s="5">
        <v>44137</v>
      </c>
      <c r="B12" s="6">
        <v>2020</v>
      </c>
      <c r="C12" s="6" t="s">
        <v>33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35953</v>
      </c>
      <c r="J12" s="9">
        <v>35953</v>
      </c>
    </row>
    <row r="13" spans="1:13" x14ac:dyDescent="0.25">
      <c r="A13" s="10">
        <v>44139</v>
      </c>
      <c r="B13" s="11">
        <v>2020</v>
      </c>
      <c r="C13" s="11" t="s">
        <v>33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38576</v>
      </c>
      <c r="J13" s="14">
        <v>38576</v>
      </c>
    </row>
    <row r="14" spans="1:13" x14ac:dyDescent="0.25">
      <c r="A14" s="5">
        <v>44140</v>
      </c>
      <c r="B14" s="6">
        <v>2020</v>
      </c>
      <c r="C14" s="6" t="s">
        <v>33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38118</v>
      </c>
      <c r="J14" s="9">
        <v>38118</v>
      </c>
    </row>
    <row r="15" spans="1:13" x14ac:dyDescent="0.25">
      <c r="A15" s="10">
        <v>44144</v>
      </c>
      <c r="B15" s="11">
        <v>2020</v>
      </c>
      <c r="C15" s="11" t="s">
        <v>33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33204</v>
      </c>
      <c r="J15" s="14">
        <v>33204</v>
      </c>
    </row>
    <row r="16" spans="1:13" x14ac:dyDescent="0.25">
      <c r="A16" s="5">
        <v>44149</v>
      </c>
      <c r="B16" s="6">
        <v>2020</v>
      </c>
      <c r="C16" s="6" t="s">
        <v>33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34187</v>
      </c>
      <c r="J16" s="9">
        <v>34187</v>
      </c>
    </row>
    <row r="17" spans="1:10" x14ac:dyDescent="0.25">
      <c r="A17" s="10">
        <v>44151</v>
      </c>
      <c r="B17" s="11">
        <v>2020</v>
      </c>
      <c r="C17" s="11" t="s">
        <v>33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33611</v>
      </c>
      <c r="J17" s="14">
        <v>33611</v>
      </c>
    </row>
    <row r="18" spans="1:10" x14ac:dyDescent="0.25">
      <c r="A18" s="5">
        <v>44154</v>
      </c>
      <c r="B18" s="6">
        <v>2020</v>
      </c>
      <c r="C18" s="6" t="s">
        <v>33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39460</v>
      </c>
      <c r="J18" s="9">
        <v>39460</v>
      </c>
    </row>
    <row r="19" spans="1:10" x14ac:dyDescent="0.25">
      <c r="A19" s="10">
        <v>44156</v>
      </c>
      <c r="B19" s="11">
        <v>2020</v>
      </c>
      <c r="C19" s="11" t="s">
        <v>33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34893</v>
      </c>
      <c r="J19" s="14">
        <v>34893</v>
      </c>
    </row>
    <row r="20" spans="1:10" x14ac:dyDescent="0.25">
      <c r="A20" s="5">
        <v>44158</v>
      </c>
      <c r="B20" s="6">
        <v>2020</v>
      </c>
      <c r="C20" s="6" t="s">
        <v>33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37987</v>
      </c>
      <c r="J20" s="9">
        <v>37987</v>
      </c>
    </row>
    <row r="21" spans="1:10" x14ac:dyDescent="0.25">
      <c r="A21" s="10">
        <v>44165</v>
      </c>
      <c r="B21" s="11">
        <v>2020</v>
      </c>
      <c r="C21" s="11" t="s">
        <v>33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35432</v>
      </c>
      <c r="J21" s="14">
        <v>35432</v>
      </c>
    </row>
    <row r="22" spans="1:10" x14ac:dyDescent="0.25">
      <c r="A22" s="5">
        <v>44137</v>
      </c>
      <c r="B22" s="6">
        <v>2020</v>
      </c>
      <c r="C22" s="6" t="s">
        <v>33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32595</v>
      </c>
      <c r="J22" s="9">
        <v>32595</v>
      </c>
    </row>
    <row r="23" spans="1:10" x14ac:dyDescent="0.25">
      <c r="A23" s="10">
        <v>44138</v>
      </c>
      <c r="B23" s="11">
        <v>2020</v>
      </c>
      <c r="C23" s="11" t="s">
        <v>33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39663</v>
      </c>
      <c r="J23" s="14">
        <v>39663</v>
      </c>
    </row>
    <row r="24" spans="1:10" x14ac:dyDescent="0.25">
      <c r="A24" s="5">
        <v>44139</v>
      </c>
      <c r="B24" s="6">
        <v>2020</v>
      </c>
      <c r="C24" s="6" t="s">
        <v>33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35046</v>
      </c>
      <c r="J24" s="9">
        <v>35046</v>
      </c>
    </row>
    <row r="25" spans="1:10" x14ac:dyDescent="0.25">
      <c r="A25" s="10">
        <v>44142</v>
      </c>
      <c r="B25" s="11">
        <v>2020</v>
      </c>
      <c r="C25" s="11" t="s">
        <v>33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36520</v>
      </c>
      <c r="J25" s="14">
        <v>36520</v>
      </c>
    </row>
    <row r="26" spans="1:10" x14ac:dyDescent="0.25">
      <c r="A26" s="5">
        <v>44147</v>
      </c>
      <c r="B26" s="6">
        <v>2020</v>
      </c>
      <c r="C26" s="6" t="s">
        <v>33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32927</v>
      </c>
      <c r="J26" s="9">
        <v>32927</v>
      </c>
    </row>
    <row r="27" spans="1:10" x14ac:dyDescent="0.25">
      <c r="A27" s="10">
        <v>44159</v>
      </c>
      <c r="B27" s="11">
        <v>2020</v>
      </c>
      <c r="C27" s="11" t="s">
        <v>33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39421</v>
      </c>
      <c r="J27" s="14">
        <v>78842</v>
      </c>
    </row>
    <row r="28" spans="1:10" x14ac:dyDescent="0.25">
      <c r="A28" s="5">
        <v>44159</v>
      </c>
      <c r="B28" s="6">
        <v>2020</v>
      </c>
      <c r="C28" s="6" t="s">
        <v>33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31931</v>
      </c>
      <c r="J28" s="9">
        <v>31931</v>
      </c>
    </row>
    <row r="29" spans="1:10" x14ac:dyDescent="0.25">
      <c r="A29" s="10">
        <v>44162</v>
      </c>
      <c r="B29" s="11">
        <v>2020</v>
      </c>
      <c r="C29" s="11" t="s">
        <v>33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33187</v>
      </c>
      <c r="J29" s="14">
        <v>33187</v>
      </c>
    </row>
    <row r="30" spans="1:10" x14ac:dyDescent="0.25">
      <c r="A30" s="5">
        <v>44164</v>
      </c>
      <c r="B30" s="6">
        <v>2020</v>
      </c>
      <c r="C30" s="6" t="s">
        <v>33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36970</v>
      </c>
      <c r="J30" s="9">
        <v>36970</v>
      </c>
    </row>
    <row r="31" spans="1:10" x14ac:dyDescent="0.25">
      <c r="A31" s="10">
        <v>44139</v>
      </c>
      <c r="B31" s="11">
        <v>2020</v>
      </c>
      <c r="C31" s="11" t="s">
        <v>33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34472</v>
      </c>
      <c r="J31" s="14">
        <v>34472</v>
      </c>
    </row>
    <row r="32" spans="1:10" x14ac:dyDescent="0.25">
      <c r="A32" s="5">
        <v>44141</v>
      </c>
      <c r="B32" s="6">
        <v>2020</v>
      </c>
      <c r="C32" s="6" t="s">
        <v>33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31823</v>
      </c>
      <c r="J32" s="9">
        <v>31823</v>
      </c>
    </row>
    <row r="33" spans="1:10" x14ac:dyDescent="0.25">
      <c r="A33" s="10">
        <v>44143</v>
      </c>
      <c r="B33" s="11">
        <v>2020</v>
      </c>
      <c r="C33" s="11" t="s">
        <v>33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39852</v>
      </c>
      <c r="J33" s="14">
        <v>39852</v>
      </c>
    </row>
    <row r="34" spans="1:10" x14ac:dyDescent="0.25">
      <c r="A34" s="5">
        <v>44145</v>
      </c>
      <c r="B34" s="6">
        <v>2020</v>
      </c>
      <c r="C34" s="6" t="s">
        <v>33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32963</v>
      </c>
      <c r="J34" s="9">
        <v>32963</v>
      </c>
    </row>
    <row r="35" spans="1:10" x14ac:dyDescent="0.25">
      <c r="A35" s="10">
        <v>44147</v>
      </c>
      <c r="B35" s="11">
        <v>2020</v>
      </c>
      <c r="C35" s="11" t="s">
        <v>33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34051</v>
      </c>
      <c r="J35" s="14">
        <v>34051</v>
      </c>
    </row>
    <row r="36" spans="1:10" x14ac:dyDescent="0.25">
      <c r="A36" s="5">
        <v>44148</v>
      </c>
      <c r="B36" s="6">
        <v>2020</v>
      </c>
      <c r="C36" s="6" t="s">
        <v>33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32756</v>
      </c>
      <c r="J36" s="9">
        <v>32756</v>
      </c>
    </row>
    <row r="37" spans="1:10" x14ac:dyDescent="0.25">
      <c r="A37" s="10">
        <v>44149</v>
      </c>
      <c r="B37" s="11">
        <v>2020</v>
      </c>
      <c r="C37" s="11" t="s">
        <v>33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32844</v>
      </c>
      <c r="J37" s="14">
        <v>32844</v>
      </c>
    </row>
    <row r="38" spans="1:10" x14ac:dyDescent="0.25">
      <c r="A38" s="5">
        <v>44159</v>
      </c>
      <c r="B38" s="6">
        <v>2020</v>
      </c>
      <c r="C38" s="6" t="s">
        <v>33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34697</v>
      </c>
      <c r="J38" s="9">
        <v>34697</v>
      </c>
    </row>
    <row r="39" spans="1:10" x14ac:dyDescent="0.25">
      <c r="A39" s="10">
        <v>44164</v>
      </c>
      <c r="B39" s="11">
        <v>2020</v>
      </c>
      <c r="C39" s="11" t="s">
        <v>33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34866</v>
      </c>
      <c r="J39" s="14">
        <v>34866</v>
      </c>
    </row>
    <row r="40" spans="1:10" x14ac:dyDescent="0.25">
      <c r="A40" s="5">
        <v>44137</v>
      </c>
      <c r="B40" s="6">
        <v>2020</v>
      </c>
      <c r="C40" s="6" t="s">
        <v>33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37833</v>
      </c>
      <c r="J40" s="9">
        <v>37833</v>
      </c>
    </row>
    <row r="41" spans="1:10" x14ac:dyDescent="0.25">
      <c r="A41" s="10">
        <v>44137</v>
      </c>
      <c r="B41" s="11">
        <v>2020</v>
      </c>
      <c r="C41" s="11" t="s">
        <v>33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38983</v>
      </c>
      <c r="J41" s="14">
        <v>38983</v>
      </c>
    </row>
    <row r="42" spans="1:10" x14ac:dyDescent="0.25">
      <c r="A42" s="5">
        <v>44141</v>
      </c>
      <c r="B42" s="6">
        <v>2020</v>
      </c>
      <c r="C42" s="6" t="s">
        <v>33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36315</v>
      </c>
      <c r="J42" s="9">
        <v>36315</v>
      </c>
    </row>
    <row r="43" spans="1:10" x14ac:dyDescent="0.25">
      <c r="A43" s="10">
        <v>44149</v>
      </c>
      <c r="B43" s="11">
        <v>2020</v>
      </c>
      <c r="C43" s="11" t="s">
        <v>33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32979</v>
      </c>
      <c r="J43" s="14">
        <v>32979</v>
      </c>
    </row>
    <row r="44" spans="1:10" x14ac:dyDescent="0.25">
      <c r="A44" s="5">
        <v>44156</v>
      </c>
      <c r="B44" s="6">
        <v>2020</v>
      </c>
      <c r="C44" s="6" t="s">
        <v>33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37356</v>
      </c>
      <c r="J44" s="9">
        <v>37356</v>
      </c>
    </row>
    <row r="45" spans="1:10" x14ac:dyDescent="0.25">
      <c r="A45" s="10">
        <v>44156</v>
      </c>
      <c r="B45" s="11">
        <v>2020</v>
      </c>
      <c r="C45" s="11" t="s">
        <v>33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38609</v>
      </c>
      <c r="J45" s="14">
        <v>38609</v>
      </c>
    </row>
    <row r="46" spans="1:10" x14ac:dyDescent="0.25">
      <c r="A46" s="5">
        <v>44158</v>
      </c>
      <c r="B46" s="6">
        <v>2020</v>
      </c>
      <c r="C46" s="6" t="s">
        <v>33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39008</v>
      </c>
      <c r="J46" s="9">
        <v>39008</v>
      </c>
    </row>
    <row r="47" spans="1:10" x14ac:dyDescent="0.25">
      <c r="A47" s="10">
        <v>44136</v>
      </c>
      <c r="B47" s="11">
        <v>2020</v>
      </c>
      <c r="C47" s="11" t="s">
        <v>33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39136</v>
      </c>
      <c r="J47" s="14">
        <v>39136</v>
      </c>
    </row>
    <row r="48" spans="1:10" x14ac:dyDescent="0.25">
      <c r="A48" s="5">
        <v>44137</v>
      </c>
      <c r="B48" s="6">
        <v>2020</v>
      </c>
      <c r="C48" s="6" t="s">
        <v>33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39032</v>
      </c>
      <c r="J48" s="9">
        <v>39032</v>
      </c>
    </row>
    <row r="49" spans="1:10" x14ac:dyDescent="0.25">
      <c r="A49" s="10">
        <v>44147</v>
      </c>
      <c r="B49" s="11">
        <v>2020</v>
      </c>
      <c r="C49" s="11" t="s">
        <v>33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38017</v>
      </c>
      <c r="J49" s="14">
        <v>38017</v>
      </c>
    </row>
    <row r="50" spans="1:10" x14ac:dyDescent="0.25">
      <c r="A50" s="5">
        <v>44147</v>
      </c>
      <c r="B50" s="6">
        <v>2020</v>
      </c>
      <c r="C50" s="6" t="s">
        <v>33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36982</v>
      </c>
      <c r="J50" s="9">
        <v>36982</v>
      </c>
    </row>
    <row r="51" spans="1:10" x14ac:dyDescent="0.25">
      <c r="A51" s="10">
        <v>44147</v>
      </c>
      <c r="B51" s="11">
        <v>2020</v>
      </c>
      <c r="C51" s="11" t="s">
        <v>33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31928</v>
      </c>
      <c r="J51" s="14">
        <v>31928</v>
      </c>
    </row>
    <row r="52" spans="1:10" x14ac:dyDescent="0.25">
      <c r="A52" s="5">
        <v>44151</v>
      </c>
      <c r="B52" s="6">
        <v>2020</v>
      </c>
      <c r="C52" s="6" t="s">
        <v>33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32241</v>
      </c>
      <c r="J52" s="9">
        <v>32241</v>
      </c>
    </row>
    <row r="53" spans="1:10" x14ac:dyDescent="0.25">
      <c r="A53" s="10">
        <v>44158</v>
      </c>
      <c r="B53" s="11">
        <v>2020</v>
      </c>
      <c r="C53" s="11" t="s">
        <v>33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33313</v>
      </c>
      <c r="J53" s="14">
        <v>33313</v>
      </c>
    </row>
    <row r="54" spans="1:10" x14ac:dyDescent="0.25">
      <c r="A54" s="5">
        <v>44163</v>
      </c>
      <c r="B54" s="6">
        <v>2020</v>
      </c>
      <c r="C54" s="6" t="s">
        <v>33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37007</v>
      </c>
      <c r="J54" s="9">
        <v>37007</v>
      </c>
    </row>
    <row r="55" spans="1:10" x14ac:dyDescent="0.25">
      <c r="A55" s="10">
        <v>44164</v>
      </c>
      <c r="B55" s="11">
        <v>2020</v>
      </c>
      <c r="C55" s="11" t="s">
        <v>33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36166</v>
      </c>
      <c r="J55" s="14">
        <v>36166</v>
      </c>
    </row>
    <row r="56" spans="1:10" x14ac:dyDescent="0.25">
      <c r="A56" s="5">
        <v>44147</v>
      </c>
      <c r="B56" s="6">
        <v>2020</v>
      </c>
      <c r="C56" s="6" t="s">
        <v>33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36185</v>
      </c>
      <c r="J56" s="9">
        <v>36185</v>
      </c>
    </row>
    <row r="57" spans="1:10" x14ac:dyDescent="0.25">
      <c r="A57" s="10">
        <v>44147</v>
      </c>
      <c r="B57" s="11">
        <v>2020</v>
      </c>
      <c r="C57" s="11" t="s">
        <v>33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31461</v>
      </c>
      <c r="J57" s="14">
        <v>31461</v>
      </c>
    </row>
    <row r="58" spans="1:10" x14ac:dyDescent="0.25">
      <c r="A58" s="5">
        <v>44147</v>
      </c>
      <c r="B58" s="6">
        <v>2020</v>
      </c>
      <c r="C58" s="6" t="s">
        <v>33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39464</v>
      </c>
      <c r="J58" s="9">
        <v>39464</v>
      </c>
    </row>
    <row r="59" spans="1:10" x14ac:dyDescent="0.25">
      <c r="A59" s="10">
        <v>44148</v>
      </c>
      <c r="B59" s="11">
        <v>2020</v>
      </c>
      <c r="C59" s="11" t="s">
        <v>33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37225</v>
      </c>
      <c r="J59" s="14">
        <v>37225</v>
      </c>
    </row>
    <row r="60" spans="1:10" x14ac:dyDescent="0.25">
      <c r="A60" s="5">
        <v>44151</v>
      </c>
      <c r="B60" s="6">
        <v>2020</v>
      </c>
      <c r="C60" s="6" t="s">
        <v>33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37906</v>
      </c>
      <c r="J60" s="9">
        <v>37906</v>
      </c>
    </row>
    <row r="61" spans="1:10" x14ac:dyDescent="0.25">
      <c r="A61" s="10">
        <v>44136</v>
      </c>
      <c r="B61" s="11">
        <v>2020</v>
      </c>
      <c r="C61" s="11" t="s">
        <v>33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37054</v>
      </c>
      <c r="J61" s="14">
        <v>37054</v>
      </c>
    </row>
    <row r="62" spans="1:10" x14ac:dyDescent="0.25">
      <c r="A62" s="5">
        <v>44137</v>
      </c>
      <c r="B62" s="6">
        <v>2020</v>
      </c>
      <c r="C62" s="6" t="s">
        <v>33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39645</v>
      </c>
      <c r="J62" s="9">
        <v>39645</v>
      </c>
    </row>
    <row r="63" spans="1:10" x14ac:dyDescent="0.25">
      <c r="A63" s="10">
        <v>44140</v>
      </c>
      <c r="B63" s="11">
        <v>2020</v>
      </c>
      <c r="C63" s="11" t="s">
        <v>33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31059</v>
      </c>
      <c r="J63" s="14">
        <v>31059</v>
      </c>
    </row>
    <row r="64" spans="1:10" x14ac:dyDescent="0.25">
      <c r="A64" s="5">
        <v>44149</v>
      </c>
      <c r="B64" s="6">
        <v>2020</v>
      </c>
      <c r="C64" s="6" t="s">
        <v>33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36122</v>
      </c>
      <c r="J64" s="9">
        <v>36122</v>
      </c>
    </row>
    <row r="65" spans="1:10" x14ac:dyDescent="0.25">
      <c r="A65" s="10">
        <v>44160</v>
      </c>
      <c r="B65" s="11">
        <v>2020</v>
      </c>
      <c r="C65" s="11" t="s">
        <v>33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32827</v>
      </c>
      <c r="J65" s="14">
        <v>32827</v>
      </c>
    </row>
    <row r="66" spans="1:10" x14ac:dyDescent="0.25">
      <c r="A66" s="5">
        <v>44137</v>
      </c>
      <c r="B66" s="6">
        <v>2020</v>
      </c>
      <c r="C66" s="6" t="s">
        <v>33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38308</v>
      </c>
      <c r="J66" s="9">
        <v>38308</v>
      </c>
    </row>
    <row r="67" spans="1:10" x14ac:dyDescent="0.25">
      <c r="A67" s="10">
        <v>44147</v>
      </c>
      <c r="B67" s="11">
        <v>2020</v>
      </c>
      <c r="C67" s="11" t="s">
        <v>33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31322</v>
      </c>
      <c r="J67" s="14">
        <v>31322</v>
      </c>
    </row>
    <row r="68" spans="1:10" x14ac:dyDescent="0.25">
      <c r="A68" s="5">
        <v>44152</v>
      </c>
      <c r="B68" s="6">
        <v>2020</v>
      </c>
      <c r="C68" s="6" t="s">
        <v>33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34116</v>
      </c>
      <c r="J68" s="9">
        <v>34116</v>
      </c>
    </row>
    <row r="69" spans="1:10" x14ac:dyDescent="0.25">
      <c r="A69" s="10">
        <v>44136</v>
      </c>
      <c r="B69" s="11">
        <v>2020</v>
      </c>
      <c r="C69" s="11" t="s">
        <v>33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37805</v>
      </c>
      <c r="J69" s="14">
        <v>37805</v>
      </c>
    </row>
    <row r="70" spans="1:10" x14ac:dyDescent="0.25">
      <c r="A70" s="5">
        <v>44153</v>
      </c>
      <c r="B70" s="6">
        <v>2020</v>
      </c>
      <c r="C70" s="6" t="s">
        <v>33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37317</v>
      </c>
      <c r="J70" s="9">
        <v>37317</v>
      </c>
    </row>
    <row r="71" spans="1:10" x14ac:dyDescent="0.25">
      <c r="A71" s="10">
        <v>44155</v>
      </c>
      <c r="B71" s="11">
        <v>2020</v>
      </c>
      <c r="C71" s="11" t="s">
        <v>33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35644</v>
      </c>
      <c r="J71" s="14">
        <v>35644</v>
      </c>
    </row>
    <row r="72" spans="1:10" x14ac:dyDescent="0.25">
      <c r="A72" s="5">
        <v>44146</v>
      </c>
      <c r="B72" s="6">
        <v>2020</v>
      </c>
      <c r="C72" s="6" t="s">
        <v>33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32950</v>
      </c>
      <c r="J72" s="9">
        <v>32950</v>
      </c>
    </row>
    <row r="73" spans="1:10" x14ac:dyDescent="0.25">
      <c r="A73" s="10">
        <v>44147</v>
      </c>
      <c r="B73" s="11">
        <v>2020</v>
      </c>
      <c r="C73" s="11" t="s">
        <v>33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31384</v>
      </c>
      <c r="J73" s="14">
        <v>31384</v>
      </c>
    </row>
    <row r="74" spans="1:10" x14ac:dyDescent="0.25">
      <c r="A74" s="15">
        <v>44150</v>
      </c>
      <c r="B74" s="16">
        <v>2020</v>
      </c>
      <c r="C74" s="16" t="s">
        <v>33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33903</v>
      </c>
      <c r="J74" s="19">
        <v>33903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921E-E420-4701-8CCE-CE73362C58C1}">
  <sheetPr codeName="Sheet12"/>
  <dimension ref="A1:M74"/>
  <sheetViews>
    <sheetView zoomScaleNormal="100" workbookViewId="0">
      <selection activeCell="A37" sqref="A37"/>
    </sheetView>
  </sheetViews>
  <sheetFormatPr defaultRowHeight="15" x14ac:dyDescent="0.25"/>
  <cols>
    <col min="1" max="1" width="9.7109375" bestFit="1" customWidth="1"/>
    <col min="2" max="2" width="9.42578125" bestFit="1" customWidth="1"/>
    <col min="3" max="3" width="11.42578125" bestFit="1" customWidth="1"/>
    <col min="4" max="4" width="13.28515625" bestFit="1" customWidth="1"/>
    <col min="5" max="5" width="17.42578125" bestFit="1" customWidth="1"/>
    <col min="6" max="6" width="18.28515625" bestFit="1" customWidth="1"/>
    <col min="7" max="7" width="17.42578125" bestFit="1" customWidth="1"/>
    <col min="8" max="8" width="13.140625" bestFit="1" customWidth="1"/>
    <col min="9" max="9" width="15.42578125" bestFit="1" customWidth="1"/>
    <col min="10" max="10" width="16.42578125" bestFit="1" customWidth="1"/>
    <col min="11" max="11" width="15.5703125" bestFit="1" customWidth="1"/>
    <col min="13" max="13" width="19.85546875" bestFit="1" customWidth="1"/>
    <col min="14" max="14" width="24.28515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</v>
      </c>
      <c r="J1" s="4" t="s">
        <v>31</v>
      </c>
      <c r="M1" t="s">
        <v>30</v>
      </c>
    </row>
    <row r="2" spans="1:13" x14ac:dyDescent="0.25">
      <c r="A2" s="5">
        <v>44167</v>
      </c>
      <c r="B2" s="6">
        <v>2020</v>
      </c>
      <c r="C2" s="6" t="s">
        <v>34</v>
      </c>
      <c r="D2" s="6" t="s">
        <v>9</v>
      </c>
      <c r="E2" s="6">
        <v>1008</v>
      </c>
      <c r="F2" s="7" t="s">
        <v>10</v>
      </c>
      <c r="G2" s="6" t="s">
        <v>11</v>
      </c>
      <c r="H2" s="6">
        <v>1</v>
      </c>
      <c r="I2" s="8">
        <v>32880</v>
      </c>
      <c r="J2" s="9">
        <v>32880</v>
      </c>
      <c r="L2" t="s">
        <v>29</v>
      </c>
      <c r="M2" s="1">
        <f>AVERAGE('December 2020'!$I$2:$I$74)</f>
        <v>35703.794520547948</v>
      </c>
    </row>
    <row r="3" spans="1:13" x14ac:dyDescent="0.25">
      <c r="A3" s="10">
        <v>44167</v>
      </c>
      <c r="B3" s="11">
        <v>2020</v>
      </c>
      <c r="C3" s="11" t="s">
        <v>34</v>
      </c>
      <c r="D3" s="11" t="s">
        <v>12</v>
      </c>
      <c r="E3" s="11">
        <v>1008</v>
      </c>
      <c r="F3" s="12" t="s">
        <v>10</v>
      </c>
      <c r="G3" s="11" t="s">
        <v>11</v>
      </c>
      <c r="H3" s="11">
        <v>1</v>
      </c>
      <c r="I3" s="13">
        <v>39535</v>
      </c>
      <c r="J3" s="14">
        <v>39535</v>
      </c>
    </row>
    <row r="4" spans="1:13" x14ac:dyDescent="0.25">
      <c r="A4" s="5">
        <v>44169</v>
      </c>
      <c r="B4" s="6">
        <v>2020</v>
      </c>
      <c r="C4" s="6" t="s">
        <v>34</v>
      </c>
      <c r="D4" s="6" t="s">
        <v>13</v>
      </c>
      <c r="E4" s="6">
        <v>1008</v>
      </c>
      <c r="F4" s="7" t="s">
        <v>10</v>
      </c>
      <c r="G4" s="6" t="s">
        <v>11</v>
      </c>
      <c r="H4" s="6">
        <v>1</v>
      </c>
      <c r="I4" s="8">
        <v>38543</v>
      </c>
      <c r="J4" s="9">
        <v>38543</v>
      </c>
    </row>
    <row r="5" spans="1:13" x14ac:dyDescent="0.25">
      <c r="A5" s="10">
        <v>44177</v>
      </c>
      <c r="B5" s="11">
        <v>2020</v>
      </c>
      <c r="C5" s="11" t="s">
        <v>34</v>
      </c>
      <c r="D5" s="11" t="s">
        <v>13</v>
      </c>
      <c r="E5" s="11">
        <v>1008</v>
      </c>
      <c r="F5" s="12" t="s">
        <v>10</v>
      </c>
      <c r="G5" s="11" t="s">
        <v>11</v>
      </c>
      <c r="H5" s="11">
        <v>1</v>
      </c>
      <c r="I5" s="13">
        <v>35087</v>
      </c>
      <c r="J5" s="14">
        <v>35087</v>
      </c>
    </row>
    <row r="6" spans="1:13" x14ac:dyDescent="0.25">
      <c r="A6" s="5">
        <v>44187</v>
      </c>
      <c r="B6" s="6">
        <v>2020</v>
      </c>
      <c r="C6" s="6" t="s">
        <v>34</v>
      </c>
      <c r="D6" s="6" t="s">
        <v>13</v>
      </c>
      <c r="E6" s="6">
        <v>1008</v>
      </c>
      <c r="F6" s="7" t="s">
        <v>10</v>
      </c>
      <c r="G6" s="6" t="s">
        <v>11</v>
      </c>
      <c r="H6" s="6">
        <v>1</v>
      </c>
      <c r="I6" s="8">
        <v>37340</v>
      </c>
      <c r="J6" s="9">
        <v>37340</v>
      </c>
    </row>
    <row r="7" spans="1:13" x14ac:dyDescent="0.25">
      <c r="A7" s="10">
        <v>44191</v>
      </c>
      <c r="B7" s="11">
        <v>2020</v>
      </c>
      <c r="C7" s="11" t="s">
        <v>34</v>
      </c>
      <c r="D7" s="11" t="s">
        <v>9</v>
      </c>
      <c r="E7" s="11">
        <v>1008</v>
      </c>
      <c r="F7" s="12" t="s">
        <v>10</v>
      </c>
      <c r="G7" s="11" t="s">
        <v>11</v>
      </c>
      <c r="H7" s="11">
        <v>1</v>
      </c>
      <c r="I7" s="13">
        <v>35671</v>
      </c>
      <c r="J7" s="14">
        <v>35671</v>
      </c>
    </row>
    <row r="8" spans="1:13" x14ac:dyDescent="0.25">
      <c r="A8" s="5">
        <v>44193</v>
      </c>
      <c r="B8" s="6">
        <v>2020</v>
      </c>
      <c r="C8" s="6" t="s">
        <v>34</v>
      </c>
      <c r="D8" s="6" t="s">
        <v>12</v>
      </c>
      <c r="E8" s="6">
        <v>1008</v>
      </c>
      <c r="F8" s="7" t="s">
        <v>10</v>
      </c>
      <c r="G8" s="6" t="s">
        <v>11</v>
      </c>
      <c r="H8" s="6">
        <v>1</v>
      </c>
      <c r="I8" s="8">
        <v>34296</v>
      </c>
      <c r="J8" s="9">
        <v>34296</v>
      </c>
    </row>
    <row r="9" spans="1:13" x14ac:dyDescent="0.25">
      <c r="A9" s="10">
        <v>44196</v>
      </c>
      <c r="B9" s="11">
        <v>2020</v>
      </c>
      <c r="C9" s="11" t="s">
        <v>34</v>
      </c>
      <c r="D9" s="11" t="s">
        <v>12</v>
      </c>
      <c r="E9" s="11">
        <v>1008</v>
      </c>
      <c r="F9" s="12" t="s">
        <v>10</v>
      </c>
      <c r="G9" s="11" t="s">
        <v>11</v>
      </c>
      <c r="H9" s="11">
        <v>1</v>
      </c>
      <c r="I9" s="13">
        <v>34355</v>
      </c>
      <c r="J9" s="14">
        <v>34355</v>
      </c>
    </row>
    <row r="10" spans="1:13" x14ac:dyDescent="0.25">
      <c r="A10" s="5">
        <v>44167</v>
      </c>
      <c r="B10" s="6">
        <v>2020</v>
      </c>
      <c r="C10" s="6" t="s">
        <v>34</v>
      </c>
      <c r="D10" s="6" t="s">
        <v>12</v>
      </c>
      <c r="E10" s="6">
        <v>1005</v>
      </c>
      <c r="F10" s="7" t="s">
        <v>14</v>
      </c>
      <c r="G10" s="6" t="s">
        <v>15</v>
      </c>
      <c r="H10" s="6">
        <v>1</v>
      </c>
      <c r="I10" s="8">
        <v>35989</v>
      </c>
      <c r="J10" s="9">
        <v>35989</v>
      </c>
    </row>
    <row r="11" spans="1:13" x14ac:dyDescent="0.25">
      <c r="A11" s="10">
        <v>44167</v>
      </c>
      <c r="B11" s="11">
        <v>2020</v>
      </c>
      <c r="C11" s="11" t="s">
        <v>34</v>
      </c>
      <c r="D11" s="11" t="s">
        <v>16</v>
      </c>
      <c r="E11" s="11">
        <v>1005</v>
      </c>
      <c r="F11" s="12" t="s">
        <v>14</v>
      </c>
      <c r="G11" s="11" t="s">
        <v>15</v>
      </c>
      <c r="H11" s="11">
        <v>2</v>
      </c>
      <c r="I11" s="13">
        <v>37751</v>
      </c>
      <c r="J11" s="14">
        <v>75502</v>
      </c>
    </row>
    <row r="12" spans="1:13" x14ac:dyDescent="0.25">
      <c r="A12" s="5">
        <v>44167</v>
      </c>
      <c r="B12" s="6">
        <v>2020</v>
      </c>
      <c r="C12" s="6" t="s">
        <v>34</v>
      </c>
      <c r="D12" s="6" t="s">
        <v>12</v>
      </c>
      <c r="E12" s="6">
        <v>1005</v>
      </c>
      <c r="F12" s="7" t="s">
        <v>14</v>
      </c>
      <c r="G12" s="6" t="s">
        <v>15</v>
      </c>
      <c r="H12" s="6">
        <v>1</v>
      </c>
      <c r="I12" s="8">
        <v>38440</v>
      </c>
      <c r="J12" s="9">
        <v>38440</v>
      </c>
    </row>
    <row r="13" spans="1:13" x14ac:dyDescent="0.25">
      <c r="A13" s="10">
        <v>44169</v>
      </c>
      <c r="B13" s="11">
        <v>2020</v>
      </c>
      <c r="C13" s="11" t="s">
        <v>34</v>
      </c>
      <c r="D13" s="11" t="s">
        <v>9</v>
      </c>
      <c r="E13" s="11">
        <v>1005</v>
      </c>
      <c r="F13" s="12" t="s">
        <v>14</v>
      </c>
      <c r="G13" s="11" t="s">
        <v>15</v>
      </c>
      <c r="H13" s="11">
        <v>1</v>
      </c>
      <c r="I13" s="13">
        <v>39882</v>
      </c>
      <c r="J13" s="14">
        <v>39882</v>
      </c>
    </row>
    <row r="14" spans="1:13" x14ac:dyDescent="0.25">
      <c r="A14" s="5">
        <v>44170</v>
      </c>
      <c r="B14" s="6">
        <v>2020</v>
      </c>
      <c r="C14" s="6" t="s">
        <v>34</v>
      </c>
      <c r="D14" s="6" t="s">
        <v>16</v>
      </c>
      <c r="E14" s="6">
        <v>1005</v>
      </c>
      <c r="F14" s="7" t="s">
        <v>14</v>
      </c>
      <c r="G14" s="6" t="s">
        <v>15</v>
      </c>
      <c r="H14" s="6">
        <v>1</v>
      </c>
      <c r="I14" s="8">
        <v>32282</v>
      </c>
      <c r="J14" s="9">
        <v>32282</v>
      </c>
    </row>
    <row r="15" spans="1:13" x14ac:dyDescent="0.25">
      <c r="A15" s="10">
        <v>44174</v>
      </c>
      <c r="B15" s="11">
        <v>2020</v>
      </c>
      <c r="C15" s="11" t="s">
        <v>34</v>
      </c>
      <c r="D15" s="11" t="s">
        <v>12</v>
      </c>
      <c r="E15" s="11">
        <v>1005</v>
      </c>
      <c r="F15" s="12" t="s">
        <v>14</v>
      </c>
      <c r="G15" s="11" t="s">
        <v>15</v>
      </c>
      <c r="H15" s="11">
        <v>1</v>
      </c>
      <c r="I15" s="13">
        <v>31730</v>
      </c>
      <c r="J15" s="14">
        <v>31730</v>
      </c>
    </row>
    <row r="16" spans="1:13" x14ac:dyDescent="0.25">
      <c r="A16" s="5">
        <v>44179</v>
      </c>
      <c r="B16" s="6">
        <v>2020</v>
      </c>
      <c r="C16" s="6" t="s">
        <v>34</v>
      </c>
      <c r="D16" s="6" t="s">
        <v>16</v>
      </c>
      <c r="E16" s="6">
        <v>1005</v>
      </c>
      <c r="F16" s="7" t="s">
        <v>14</v>
      </c>
      <c r="G16" s="6" t="s">
        <v>15</v>
      </c>
      <c r="H16" s="6">
        <v>1</v>
      </c>
      <c r="I16" s="8">
        <v>36843</v>
      </c>
      <c r="J16" s="9">
        <v>36843</v>
      </c>
    </row>
    <row r="17" spans="1:10" x14ac:dyDescent="0.25">
      <c r="A17" s="10">
        <v>44181</v>
      </c>
      <c r="B17" s="11">
        <v>2020</v>
      </c>
      <c r="C17" s="11" t="s">
        <v>34</v>
      </c>
      <c r="D17" s="11" t="s">
        <v>13</v>
      </c>
      <c r="E17" s="11">
        <v>1005</v>
      </c>
      <c r="F17" s="12" t="s">
        <v>14</v>
      </c>
      <c r="G17" s="11" t="s">
        <v>15</v>
      </c>
      <c r="H17" s="11">
        <v>1</v>
      </c>
      <c r="I17" s="13">
        <v>38850</v>
      </c>
      <c r="J17" s="14">
        <v>38850</v>
      </c>
    </row>
    <row r="18" spans="1:10" x14ac:dyDescent="0.25">
      <c r="A18" s="5">
        <v>44184</v>
      </c>
      <c r="B18" s="6">
        <v>2020</v>
      </c>
      <c r="C18" s="6" t="s">
        <v>34</v>
      </c>
      <c r="D18" s="6" t="s">
        <v>9</v>
      </c>
      <c r="E18" s="6">
        <v>1005</v>
      </c>
      <c r="F18" s="7" t="s">
        <v>14</v>
      </c>
      <c r="G18" s="6" t="s">
        <v>15</v>
      </c>
      <c r="H18" s="6">
        <v>1</v>
      </c>
      <c r="I18" s="8">
        <v>37750</v>
      </c>
      <c r="J18" s="9">
        <v>37750</v>
      </c>
    </row>
    <row r="19" spans="1:10" x14ac:dyDescent="0.25">
      <c r="A19" s="10">
        <v>44186</v>
      </c>
      <c r="B19" s="11">
        <v>2020</v>
      </c>
      <c r="C19" s="11" t="s">
        <v>34</v>
      </c>
      <c r="D19" s="11" t="s">
        <v>9</v>
      </c>
      <c r="E19" s="11">
        <v>1005</v>
      </c>
      <c r="F19" s="12" t="s">
        <v>14</v>
      </c>
      <c r="G19" s="11" t="s">
        <v>15</v>
      </c>
      <c r="H19" s="11">
        <v>1</v>
      </c>
      <c r="I19" s="13">
        <v>33795</v>
      </c>
      <c r="J19" s="14">
        <v>33795</v>
      </c>
    </row>
    <row r="20" spans="1:10" x14ac:dyDescent="0.25">
      <c r="A20" s="5">
        <v>44188</v>
      </c>
      <c r="B20" s="6">
        <v>2020</v>
      </c>
      <c r="C20" s="6" t="s">
        <v>34</v>
      </c>
      <c r="D20" s="6" t="s">
        <v>12</v>
      </c>
      <c r="E20" s="6">
        <v>1005</v>
      </c>
      <c r="F20" s="7" t="s">
        <v>14</v>
      </c>
      <c r="G20" s="6" t="s">
        <v>15</v>
      </c>
      <c r="H20" s="6">
        <v>1</v>
      </c>
      <c r="I20" s="8">
        <v>36886</v>
      </c>
      <c r="J20" s="9">
        <v>36886</v>
      </c>
    </row>
    <row r="21" spans="1:10" x14ac:dyDescent="0.25">
      <c r="A21" s="10">
        <v>44195</v>
      </c>
      <c r="B21" s="11">
        <v>2020</v>
      </c>
      <c r="C21" s="11" t="s">
        <v>34</v>
      </c>
      <c r="D21" s="11" t="s">
        <v>16</v>
      </c>
      <c r="E21" s="11">
        <v>1005</v>
      </c>
      <c r="F21" s="12" t="s">
        <v>14</v>
      </c>
      <c r="G21" s="11" t="s">
        <v>15</v>
      </c>
      <c r="H21" s="11">
        <v>1</v>
      </c>
      <c r="I21" s="13">
        <v>35917</v>
      </c>
      <c r="J21" s="14">
        <v>35917</v>
      </c>
    </row>
    <row r="22" spans="1:10" x14ac:dyDescent="0.25">
      <c r="A22" s="5">
        <v>44167</v>
      </c>
      <c r="B22" s="6">
        <v>2020</v>
      </c>
      <c r="C22" s="6" t="s">
        <v>34</v>
      </c>
      <c r="D22" s="6" t="s">
        <v>12</v>
      </c>
      <c r="E22" s="6">
        <v>1006</v>
      </c>
      <c r="F22" s="7" t="s">
        <v>17</v>
      </c>
      <c r="G22" s="6" t="s">
        <v>15</v>
      </c>
      <c r="H22" s="6">
        <v>1</v>
      </c>
      <c r="I22" s="8">
        <v>33737</v>
      </c>
      <c r="J22" s="9">
        <v>33737</v>
      </c>
    </row>
    <row r="23" spans="1:10" x14ac:dyDescent="0.25">
      <c r="A23" s="10">
        <v>44168</v>
      </c>
      <c r="B23" s="11">
        <v>2020</v>
      </c>
      <c r="C23" s="11" t="s">
        <v>34</v>
      </c>
      <c r="D23" s="11" t="s">
        <v>9</v>
      </c>
      <c r="E23" s="11">
        <v>1006</v>
      </c>
      <c r="F23" s="12" t="s">
        <v>17</v>
      </c>
      <c r="G23" s="11" t="s">
        <v>15</v>
      </c>
      <c r="H23" s="11">
        <v>1</v>
      </c>
      <c r="I23" s="13">
        <v>37384</v>
      </c>
      <c r="J23" s="14">
        <v>37384</v>
      </c>
    </row>
    <row r="24" spans="1:10" x14ac:dyDescent="0.25">
      <c r="A24" s="5">
        <v>44169</v>
      </c>
      <c r="B24" s="6">
        <v>2020</v>
      </c>
      <c r="C24" s="6" t="s">
        <v>34</v>
      </c>
      <c r="D24" s="6" t="s">
        <v>9</v>
      </c>
      <c r="E24" s="6">
        <v>1006</v>
      </c>
      <c r="F24" s="7" t="s">
        <v>17</v>
      </c>
      <c r="G24" s="6" t="s">
        <v>15</v>
      </c>
      <c r="H24" s="6">
        <v>1</v>
      </c>
      <c r="I24" s="8">
        <v>38071</v>
      </c>
      <c r="J24" s="9">
        <v>38071</v>
      </c>
    </row>
    <row r="25" spans="1:10" x14ac:dyDescent="0.25">
      <c r="A25" s="10">
        <v>44172</v>
      </c>
      <c r="B25" s="11">
        <v>2020</v>
      </c>
      <c r="C25" s="11" t="s">
        <v>34</v>
      </c>
      <c r="D25" s="11" t="s">
        <v>9</v>
      </c>
      <c r="E25" s="11">
        <v>1006</v>
      </c>
      <c r="F25" s="12" t="s">
        <v>17</v>
      </c>
      <c r="G25" s="11" t="s">
        <v>15</v>
      </c>
      <c r="H25" s="11">
        <v>1</v>
      </c>
      <c r="I25" s="13">
        <v>39290</v>
      </c>
      <c r="J25" s="14">
        <v>39290</v>
      </c>
    </row>
    <row r="26" spans="1:10" x14ac:dyDescent="0.25">
      <c r="A26" s="5">
        <v>44177</v>
      </c>
      <c r="B26" s="6">
        <v>2020</v>
      </c>
      <c r="C26" s="6" t="s">
        <v>34</v>
      </c>
      <c r="D26" s="6" t="s">
        <v>16</v>
      </c>
      <c r="E26" s="6">
        <v>1006</v>
      </c>
      <c r="F26" s="7" t="s">
        <v>17</v>
      </c>
      <c r="G26" s="6" t="s">
        <v>15</v>
      </c>
      <c r="H26" s="6">
        <v>1</v>
      </c>
      <c r="I26" s="8">
        <v>31556</v>
      </c>
      <c r="J26" s="9">
        <v>31556</v>
      </c>
    </row>
    <row r="27" spans="1:10" x14ac:dyDescent="0.25">
      <c r="A27" s="10">
        <v>44189</v>
      </c>
      <c r="B27" s="11">
        <v>2020</v>
      </c>
      <c r="C27" s="11" t="s">
        <v>34</v>
      </c>
      <c r="D27" s="11" t="s">
        <v>9</v>
      </c>
      <c r="E27" s="11">
        <v>1006</v>
      </c>
      <c r="F27" s="12" t="s">
        <v>17</v>
      </c>
      <c r="G27" s="11" t="s">
        <v>15</v>
      </c>
      <c r="H27" s="11">
        <v>2</v>
      </c>
      <c r="I27" s="13">
        <v>38918</v>
      </c>
      <c r="J27" s="14">
        <v>77836</v>
      </c>
    </row>
    <row r="28" spans="1:10" x14ac:dyDescent="0.25">
      <c r="A28" s="5">
        <v>44189</v>
      </c>
      <c r="B28" s="6">
        <v>2020</v>
      </c>
      <c r="C28" s="6" t="s">
        <v>34</v>
      </c>
      <c r="D28" s="6" t="s">
        <v>13</v>
      </c>
      <c r="E28" s="6">
        <v>1006</v>
      </c>
      <c r="F28" s="7" t="s">
        <v>17</v>
      </c>
      <c r="G28" s="6" t="s">
        <v>15</v>
      </c>
      <c r="H28" s="6">
        <v>1</v>
      </c>
      <c r="I28" s="8">
        <v>34260</v>
      </c>
      <c r="J28" s="9">
        <v>34260</v>
      </c>
    </row>
    <row r="29" spans="1:10" x14ac:dyDescent="0.25">
      <c r="A29" s="10">
        <v>44192</v>
      </c>
      <c r="B29" s="11">
        <v>2020</v>
      </c>
      <c r="C29" s="11" t="s">
        <v>34</v>
      </c>
      <c r="D29" s="11" t="s">
        <v>16</v>
      </c>
      <c r="E29" s="11">
        <v>1006</v>
      </c>
      <c r="F29" s="12" t="s">
        <v>17</v>
      </c>
      <c r="G29" s="11" t="s">
        <v>15</v>
      </c>
      <c r="H29" s="11">
        <v>1</v>
      </c>
      <c r="I29" s="13">
        <v>35511</v>
      </c>
      <c r="J29" s="14">
        <v>35511</v>
      </c>
    </row>
    <row r="30" spans="1:10" x14ac:dyDescent="0.25">
      <c r="A30" s="5">
        <v>44194</v>
      </c>
      <c r="B30" s="6">
        <v>2020</v>
      </c>
      <c r="C30" s="6" t="s">
        <v>34</v>
      </c>
      <c r="D30" s="6" t="s">
        <v>9</v>
      </c>
      <c r="E30" s="6">
        <v>1006</v>
      </c>
      <c r="F30" s="7" t="s">
        <v>17</v>
      </c>
      <c r="G30" s="6" t="s">
        <v>15</v>
      </c>
      <c r="H30" s="6">
        <v>1</v>
      </c>
      <c r="I30" s="8">
        <v>34810</v>
      </c>
      <c r="J30" s="9">
        <v>34810</v>
      </c>
    </row>
    <row r="31" spans="1:10" x14ac:dyDescent="0.25">
      <c r="A31" s="10">
        <v>44169</v>
      </c>
      <c r="B31" s="11">
        <v>2020</v>
      </c>
      <c r="C31" s="11" t="s">
        <v>34</v>
      </c>
      <c r="D31" s="11" t="s">
        <v>16</v>
      </c>
      <c r="E31" s="11">
        <v>1007</v>
      </c>
      <c r="F31" s="12" t="s">
        <v>18</v>
      </c>
      <c r="G31" s="11" t="s">
        <v>15</v>
      </c>
      <c r="H31" s="11">
        <v>1</v>
      </c>
      <c r="I31" s="13">
        <v>32764</v>
      </c>
      <c r="J31" s="14">
        <v>32764</v>
      </c>
    </row>
    <row r="32" spans="1:10" x14ac:dyDescent="0.25">
      <c r="A32" s="5">
        <v>44171</v>
      </c>
      <c r="B32" s="6">
        <v>2020</v>
      </c>
      <c r="C32" s="6" t="s">
        <v>34</v>
      </c>
      <c r="D32" s="6" t="s">
        <v>9</v>
      </c>
      <c r="E32" s="6">
        <v>1007</v>
      </c>
      <c r="F32" s="7" t="s">
        <v>18</v>
      </c>
      <c r="G32" s="6" t="s">
        <v>15</v>
      </c>
      <c r="H32" s="6">
        <v>1</v>
      </c>
      <c r="I32" s="8">
        <v>31264</v>
      </c>
      <c r="J32" s="9">
        <v>31264</v>
      </c>
    </row>
    <row r="33" spans="1:10" x14ac:dyDescent="0.25">
      <c r="A33" s="10">
        <v>44173</v>
      </c>
      <c r="B33" s="11">
        <v>2020</v>
      </c>
      <c r="C33" s="11" t="s">
        <v>34</v>
      </c>
      <c r="D33" s="11" t="s">
        <v>12</v>
      </c>
      <c r="E33" s="11">
        <v>1007</v>
      </c>
      <c r="F33" s="12" t="s">
        <v>18</v>
      </c>
      <c r="G33" s="11" t="s">
        <v>15</v>
      </c>
      <c r="H33" s="11">
        <v>1</v>
      </c>
      <c r="I33" s="13">
        <v>31762</v>
      </c>
      <c r="J33" s="14">
        <v>31762</v>
      </c>
    </row>
    <row r="34" spans="1:10" x14ac:dyDescent="0.25">
      <c r="A34" s="5">
        <v>44175</v>
      </c>
      <c r="B34" s="6">
        <v>2020</v>
      </c>
      <c r="C34" s="6" t="s">
        <v>34</v>
      </c>
      <c r="D34" s="6" t="s">
        <v>13</v>
      </c>
      <c r="E34" s="6">
        <v>1007</v>
      </c>
      <c r="F34" s="7" t="s">
        <v>18</v>
      </c>
      <c r="G34" s="6" t="s">
        <v>15</v>
      </c>
      <c r="H34" s="6">
        <v>1</v>
      </c>
      <c r="I34" s="8">
        <v>35131</v>
      </c>
      <c r="J34" s="9">
        <v>35131</v>
      </c>
    </row>
    <row r="35" spans="1:10" x14ac:dyDescent="0.25">
      <c r="A35" s="10">
        <v>44177</v>
      </c>
      <c r="B35" s="11">
        <v>2020</v>
      </c>
      <c r="C35" s="11" t="s">
        <v>34</v>
      </c>
      <c r="D35" s="11" t="s">
        <v>13</v>
      </c>
      <c r="E35" s="11">
        <v>1007</v>
      </c>
      <c r="F35" s="12" t="s">
        <v>18</v>
      </c>
      <c r="G35" s="11" t="s">
        <v>15</v>
      </c>
      <c r="H35" s="11">
        <v>1</v>
      </c>
      <c r="I35" s="13">
        <v>39060</v>
      </c>
      <c r="J35" s="14">
        <v>39060</v>
      </c>
    </row>
    <row r="36" spans="1:10" x14ac:dyDescent="0.25">
      <c r="A36" s="5">
        <v>44178</v>
      </c>
      <c r="B36" s="6">
        <v>2020</v>
      </c>
      <c r="C36" s="6" t="s">
        <v>34</v>
      </c>
      <c r="D36" s="6" t="s">
        <v>12</v>
      </c>
      <c r="E36" s="6">
        <v>1007</v>
      </c>
      <c r="F36" s="7" t="s">
        <v>18</v>
      </c>
      <c r="G36" s="6" t="s">
        <v>15</v>
      </c>
      <c r="H36" s="6">
        <v>1</v>
      </c>
      <c r="I36" s="8">
        <v>34304</v>
      </c>
      <c r="J36" s="9">
        <v>34304</v>
      </c>
    </row>
    <row r="37" spans="1:10" x14ac:dyDescent="0.25">
      <c r="A37" s="10">
        <v>44179</v>
      </c>
      <c r="B37" s="11">
        <v>2020</v>
      </c>
      <c r="C37" s="11" t="s">
        <v>34</v>
      </c>
      <c r="D37" s="11" t="s">
        <v>16</v>
      </c>
      <c r="E37" s="11">
        <v>1007</v>
      </c>
      <c r="F37" s="12" t="s">
        <v>18</v>
      </c>
      <c r="G37" s="11" t="s">
        <v>15</v>
      </c>
      <c r="H37" s="11">
        <v>1</v>
      </c>
      <c r="I37" s="13">
        <v>35438</v>
      </c>
      <c r="J37" s="14">
        <v>35438</v>
      </c>
    </row>
    <row r="38" spans="1:10" x14ac:dyDescent="0.25">
      <c r="A38" s="5">
        <v>44189</v>
      </c>
      <c r="B38" s="6">
        <v>2020</v>
      </c>
      <c r="C38" s="6" t="s">
        <v>34</v>
      </c>
      <c r="D38" s="6" t="s">
        <v>9</v>
      </c>
      <c r="E38" s="6">
        <v>1007</v>
      </c>
      <c r="F38" s="7" t="s">
        <v>18</v>
      </c>
      <c r="G38" s="6" t="s">
        <v>15</v>
      </c>
      <c r="H38" s="6">
        <v>1</v>
      </c>
      <c r="I38" s="8">
        <v>37933</v>
      </c>
      <c r="J38" s="9">
        <v>37933</v>
      </c>
    </row>
    <row r="39" spans="1:10" x14ac:dyDescent="0.25">
      <c r="A39" s="10">
        <v>44194</v>
      </c>
      <c r="B39" s="11">
        <v>2020</v>
      </c>
      <c r="C39" s="11" t="s">
        <v>34</v>
      </c>
      <c r="D39" s="11" t="s">
        <v>16</v>
      </c>
      <c r="E39" s="11">
        <v>1007</v>
      </c>
      <c r="F39" s="12" t="s">
        <v>18</v>
      </c>
      <c r="G39" s="11" t="s">
        <v>15</v>
      </c>
      <c r="H39" s="11">
        <v>1</v>
      </c>
      <c r="I39" s="13">
        <v>36893</v>
      </c>
      <c r="J39" s="14">
        <v>36893</v>
      </c>
    </row>
    <row r="40" spans="1:10" x14ac:dyDescent="0.25">
      <c r="A40" s="5">
        <v>44167</v>
      </c>
      <c r="B40" s="6">
        <v>2020</v>
      </c>
      <c r="C40" s="6" t="s">
        <v>34</v>
      </c>
      <c r="D40" s="6" t="s">
        <v>12</v>
      </c>
      <c r="E40" s="6">
        <v>1001</v>
      </c>
      <c r="F40" s="7" t="s">
        <v>19</v>
      </c>
      <c r="G40" s="6" t="s">
        <v>20</v>
      </c>
      <c r="H40" s="6">
        <v>1</v>
      </c>
      <c r="I40" s="8">
        <v>37942</v>
      </c>
      <c r="J40" s="9">
        <v>37942</v>
      </c>
    </row>
    <row r="41" spans="1:10" x14ac:dyDescent="0.25">
      <c r="A41" s="10">
        <v>44167</v>
      </c>
      <c r="B41" s="11">
        <v>2020</v>
      </c>
      <c r="C41" s="11" t="s">
        <v>34</v>
      </c>
      <c r="D41" s="11" t="s">
        <v>9</v>
      </c>
      <c r="E41" s="11">
        <v>1001</v>
      </c>
      <c r="F41" s="12" t="s">
        <v>19</v>
      </c>
      <c r="G41" s="11" t="s">
        <v>20</v>
      </c>
      <c r="H41" s="11">
        <v>1</v>
      </c>
      <c r="I41" s="13">
        <v>38746</v>
      </c>
      <c r="J41" s="14">
        <v>38746</v>
      </c>
    </row>
    <row r="42" spans="1:10" x14ac:dyDescent="0.25">
      <c r="A42" s="5">
        <v>44171</v>
      </c>
      <c r="B42" s="6">
        <v>2020</v>
      </c>
      <c r="C42" s="6" t="s">
        <v>34</v>
      </c>
      <c r="D42" s="6" t="s">
        <v>13</v>
      </c>
      <c r="E42" s="6">
        <v>1001</v>
      </c>
      <c r="F42" s="7" t="s">
        <v>19</v>
      </c>
      <c r="G42" s="6" t="s">
        <v>20</v>
      </c>
      <c r="H42" s="6">
        <v>1</v>
      </c>
      <c r="I42" s="8">
        <v>33178</v>
      </c>
      <c r="J42" s="9">
        <v>33178</v>
      </c>
    </row>
    <row r="43" spans="1:10" x14ac:dyDescent="0.25">
      <c r="A43" s="10">
        <v>44179</v>
      </c>
      <c r="B43" s="11">
        <v>2020</v>
      </c>
      <c r="C43" s="11" t="s">
        <v>34</v>
      </c>
      <c r="D43" s="11" t="s">
        <v>12</v>
      </c>
      <c r="E43" s="11">
        <v>1001</v>
      </c>
      <c r="F43" s="12" t="s">
        <v>19</v>
      </c>
      <c r="G43" s="11" t="s">
        <v>20</v>
      </c>
      <c r="H43" s="11">
        <v>1</v>
      </c>
      <c r="I43" s="13">
        <v>34541</v>
      </c>
      <c r="J43" s="14">
        <v>34541</v>
      </c>
    </row>
    <row r="44" spans="1:10" x14ac:dyDescent="0.25">
      <c r="A44" s="5">
        <v>44186</v>
      </c>
      <c r="B44" s="6">
        <v>2020</v>
      </c>
      <c r="C44" s="6" t="s">
        <v>34</v>
      </c>
      <c r="D44" s="6" t="s">
        <v>16</v>
      </c>
      <c r="E44" s="6">
        <v>1001</v>
      </c>
      <c r="F44" s="7" t="s">
        <v>19</v>
      </c>
      <c r="G44" s="6" t="s">
        <v>20</v>
      </c>
      <c r="H44" s="6">
        <v>1</v>
      </c>
      <c r="I44" s="8">
        <v>32295</v>
      </c>
      <c r="J44" s="9">
        <v>32295</v>
      </c>
    </row>
    <row r="45" spans="1:10" x14ac:dyDescent="0.25">
      <c r="A45" s="10">
        <v>44186</v>
      </c>
      <c r="B45" s="11">
        <v>2020</v>
      </c>
      <c r="C45" s="11" t="s">
        <v>34</v>
      </c>
      <c r="D45" s="11" t="s">
        <v>13</v>
      </c>
      <c r="E45" s="11">
        <v>1001</v>
      </c>
      <c r="F45" s="12" t="s">
        <v>19</v>
      </c>
      <c r="G45" s="11" t="s">
        <v>20</v>
      </c>
      <c r="H45" s="11">
        <v>1</v>
      </c>
      <c r="I45" s="13">
        <v>39840</v>
      </c>
      <c r="J45" s="14">
        <v>39840</v>
      </c>
    </row>
    <row r="46" spans="1:10" x14ac:dyDescent="0.25">
      <c r="A46" s="5">
        <v>44188</v>
      </c>
      <c r="B46" s="6">
        <v>2020</v>
      </c>
      <c r="C46" s="6" t="s">
        <v>34</v>
      </c>
      <c r="D46" s="6" t="s">
        <v>16</v>
      </c>
      <c r="E46" s="6">
        <v>1001</v>
      </c>
      <c r="F46" s="7" t="s">
        <v>19</v>
      </c>
      <c r="G46" s="6" t="s">
        <v>20</v>
      </c>
      <c r="H46" s="6">
        <v>1</v>
      </c>
      <c r="I46" s="8">
        <v>38808</v>
      </c>
      <c r="J46" s="9">
        <v>38808</v>
      </c>
    </row>
    <row r="47" spans="1:10" x14ac:dyDescent="0.25">
      <c r="A47" s="10">
        <v>44166</v>
      </c>
      <c r="B47" s="11">
        <v>2020</v>
      </c>
      <c r="C47" s="11" t="s">
        <v>34</v>
      </c>
      <c r="D47" s="11" t="s">
        <v>16</v>
      </c>
      <c r="E47" s="11">
        <v>1002</v>
      </c>
      <c r="F47" s="12" t="s">
        <v>21</v>
      </c>
      <c r="G47" s="11" t="s">
        <v>20</v>
      </c>
      <c r="H47" s="11">
        <v>1</v>
      </c>
      <c r="I47" s="13">
        <v>31256</v>
      </c>
      <c r="J47" s="14">
        <v>31256</v>
      </c>
    </row>
    <row r="48" spans="1:10" x14ac:dyDescent="0.25">
      <c r="A48" s="5">
        <v>44167</v>
      </c>
      <c r="B48" s="6">
        <v>2020</v>
      </c>
      <c r="C48" s="6" t="s">
        <v>34</v>
      </c>
      <c r="D48" s="6" t="s">
        <v>13</v>
      </c>
      <c r="E48" s="6">
        <v>1002</v>
      </c>
      <c r="F48" s="7" t="s">
        <v>21</v>
      </c>
      <c r="G48" s="6" t="s">
        <v>20</v>
      </c>
      <c r="H48" s="6">
        <v>1</v>
      </c>
      <c r="I48" s="8">
        <v>36341</v>
      </c>
      <c r="J48" s="9">
        <v>36341</v>
      </c>
    </row>
    <row r="49" spans="1:10" x14ac:dyDescent="0.25">
      <c r="A49" s="10">
        <v>44177</v>
      </c>
      <c r="B49" s="11">
        <v>2020</v>
      </c>
      <c r="C49" s="11" t="s">
        <v>34</v>
      </c>
      <c r="D49" s="11" t="s">
        <v>13</v>
      </c>
      <c r="E49" s="11">
        <v>1002</v>
      </c>
      <c r="F49" s="12" t="s">
        <v>21</v>
      </c>
      <c r="G49" s="11" t="s">
        <v>20</v>
      </c>
      <c r="H49" s="11">
        <v>1</v>
      </c>
      <c r="I49" s="13">
        <v>33487</v>
      </c>
      <c r="J49" s="14">
        <v>33487</v>
      </c>
    </row>
    <row r="50" spans="1:10" x14ac:dyDescent="0.25">
      <c r="A50" s="5">
        <v>44177</v>
      </c>
      <c r="B50" s="6">
        <v>2020</v>
      </c>
      <c r="C50" s="6" t="s">
        <v>34</v>
      </c>
      <c r="D50" s="6" t="s">
        <v>12</v>
      </c>
      <c r="E50" s="6">
        <v>1002</v>
      </c>
      <c r="F50" s="7" t="s">
        <v>21</v>
      </c>
      <c r="G50" s="6" t="s">
        <v>20</v>
      </c>
      <c r="H50" s="6">
        <v>1</v>
      </c>
      <c r="I50" s="8">
        <v>32851</v>
      </c>
      <c r="J50" s="9">
        <v>32851</v>
      </c>
    </row>
    <row r="51" spans="1:10" x14ac:dyDescent="0.25">
      <c r="A51" s="10">
        <v>44177</v>
      </c>
      <c r="B51" s="11">
        <v>2020</v>
      </c>
      <c r="C51" s="11" t="s">
        <v>34</v>
      </c>
      <c r="D51" s="11" t="s">
        <v>9</v>
      </c>
      <c r="E51" s="11">
        <v>1002</v>
      </c>
      <c r="F51" s="12" t="s">
        <v>21</v>
      </c>
      <c r="G51" s="11" t="s">
        <v>20</v>
      </c>
      <c r="H51" s="11">
        <v>1</v>
      </c>
      <c r="I51" s="13">
        <v>39119</v>
      </c>
      <c r="J51" s="14">
        <v>39119</v>
      </c>
    </row>
    <row r="52" spans="1:10" x14ac:dyDescent="0.25">
      <c r="A52" s="5">
        <v>44181</v>
      </c>
      <c r="B52" s="6">
        <v>2020</v>
      </c>
      <c r="C52" s="6" t="s">
        <v>34</v>
      </c>
      <c r="D52" s="6" t="s">
        <v>9</v>
      </c>
      <c r="E52" s="6">
        <v>1002</v>
      </c>
      <c r="F52" s="7" t="s">
        <v>21</v>
      </c>
      <c r="G52" s="6" t="s">
        <v>20</v>
      </c>
      <c r="H52" s="6">
        <v>1</v>
      </c>
      <c r="I52" s="8">
        <v>37408</v>
      </c>
      <c r="J52" s="9">
        <v>37408</v>
      </c>
    </row>
    <row r="53" spans="1:10" x14ac:dyDescent="0.25">
      <c r="A53" s="10">
        <v>44188</v>
      </c>
      <c r="B53" s="11">
        <v>2020</v>
      </c>
      <c r="C53" s="11" t="s">
        <v>34</v>
      </c>
      <c r="D53" s="11" t="s">
        <v>13</v>
      </c>
      <c r="E53" s="11">
        <v>1002</v>
      </c>
      <c r="F53" s="12" t="s">
        <v>21</v>
      </c>
      <c r="G53" s="11" t="s">
        <v>20</v>
      </c>
      <c r="H53" s="11">
        <v>1</v>
      </c>
      <c r="I53" s="13">
        <v>34906</v>
      </c>
      <c r="J53" s="14">
        <v>34906</v>
      </c>
    </row>
    <row r="54" spans="1:10" x14ac:dyDescent="0.25">
      <c r="A54" s="5">
        <v>44193</v>
      </c>
      <c r="B54" s="6">
        <v>2020</v>
      </c>
      <c r="C54" s="6" t="s">
        <v>34</v>
      </c>
      <c r="D54" s="6" t="s">
        <v>16</v>
      </c>
      <c r="E54" s="6">
        <v>1002</v>
      </c>
      <c r="F54" s="7" t="s">
        <v>21</v>
      </c>
      <c r="G54" s="6" t="s">
        <v>20</v>
      </c>
      <c r="H54" s="6">
        <v>1</v>
      </c>
      <c r="I54" s="8">
        <v>32185</v>
      </c>
      <c r="J54" s="9">
        <v>32185</v>
      </c>
    </row>
    <row r="55" spans="1:10" x14ac:dyDescent="0.25">
      <c r="A55" s="10">
        <v>44194</v>
      </c>
      <c r="B55" s="11">
        <v>2020</v>
      </c>
      <c r="C55" s="11" t="s">
        <v>34</v>
      </c>
      <c r="D55" s="11" t="s">
        <v>12</v>
      </c>
      <c r="E55" s="11">
        <v>1002</v>
      </c>
      <c r="F55" s="12" t="s">
        <v>21</v>
      </c>
      <c r="G55" s="11" t="s">
        <v>20</v>
      </c>
      <c r="H55" s="11">
        <v>1</v>
      </c>
      <c r="I55" s="13">
        <v>39459</v>
      </c>
      <c r="J55" s="14">
        <v>39459</v>
      </c>
    </row>
    <row r="56" spans="1:10" x14ac:dyDescent="0.25">
      <c r="A56" s="5">
        <v>44177</v>
      </c>
      <c r="B56" s="6">
        <v>2020</v>
      </c>
      <c r="C56" s="6" t="s">
        <v>34</v>
      </c>
      <c r="D56" s="6" t="s">
        <v>9</v>
      </c>
      <c r="E56" s="6">
        <v>1003</v>
      </c>
      <c r="F56" s="7" t="s">
        <v>22</v>
      </c>
      <c r="G56" s="6" t="s">
        <v>20</v>
      </c>
      <c r="H56" s="6">
        <v>1</v>
      </c>
      <c r="I56" s="8">
        <v>31995</v>
      </c>
      <c r="J56" s="9">
        <v>31995</v>
      </c>
    </row>
    <row r="57" spans="1:10" x14ac:dyDescent="0.25">
      <c r="A57" s="10">
        <v>44177</v>
      </c>
      <c r="B57" s="11">
        <v>2020</v>
      </c>
      <c r="C57" s="11" t="s">
        <v>34</v>
      </c>
      <c r="D57" s="11" t="s">
        <v>13</v>
      </c>
      <c r="E57" s="11">
        <v>1003</v>
      </c>
      <c r="F57" s="12" t="s">
        <v>22</v>
      </c>
      <c r="G57" s="11" t="s">
        <v>20</v>
      </c>
      <c r="H57" s="11">
        <v>1</v>
      </c>
      <c r="I57" s="13">
        <v>39955</v>
      </c>
      <c r="J57" s="14">
        <v>39955</v>
      </c>
    </row>
    <row r="58" spans="1:10" x14ac:dyDescent="0.25">
      <c r="A58" s="5">
        <v>44177</v>
      </c>
      <c r="B58" s="6">
        <v>2020</v>
      </c>
      <c r="C58" s="6" t="s">
        <v>34</v>
      </c>
      <c r="D58" s="6" t="s">
        <v>16</v>
      </c>
      <c r="E58" s="6">
        <v>1003</v>
      </c>
      <c r="F58" s="7" t="s">
        <v>22</v>
      </c>
      <c r="G58" s="6" t="s">
        <v>20</v>
      </c>
      <c r="H58" s="6">
        <v>1</v>
      </c>
      <c r="I58" s="8">
        <v>35956</v>
      </c>
      <c r="J58" s="9">
        <v>35956</v>
      </c>
    </row>
    <row r="59" spans="1:10" x14ac:dyDescent="0.25">
      <c r="A59" s="10">
        <v>44178</v>
      </c>
      <c r="B59" s="11">
        <v>2020</v>
      </c>
      <c r="C59" s="11" t="s">
        <v>34</v>
      </c>
      <c r="D59" s="11" t="s">
        <v>16</v>
      </c>
      <c r="E59" s="11">
        <v>1003</v>
      </c>
      <c r="F59" s="12" t="s">
        <v>22</v>
      </c>
      <c r="G59" s="11" t="s">
        <v>20</v>
      </c>
      <c r="H59" s="11">
        <v>1</v>
      </c>
      <c r="I59" s="13">
        <v>38211</v>
      </c>
      <c r="J59" s="14">
        <v>38211</v>
      </c>
    </row>
    <row r="60" spans="1:10" x14ac:dyDescent="0.25">
      <c r="A60" s="5">
        <v>44181</v>
      </c>
      <c r="B60" s="6">
        <v>2020</v>
      </c>
      <c r="C60" s="6" t="s">
        <v>34</v>
      </c>
      <c r="D60" s="6" t="s">
        <v>9</v>
      </c>
      <c r="E60" s="6">
        <v>1003</v>
      </c>
      <c r="F60" s="7" t="s">
        <v>22</v>
      </c>
      <c r="G60" s="6" t="s">
        <v>20</v>
      </c>
      <c r="H60" s="6">
        <v>1</v>
      </c>
      <c r="I60" s="8">
        <v>33234</v>
      </c>
      <c r="J60" s="9">
        <v>33234</v>
      </c>
    </row>
    <row r="61" spans="1:10" x14ac:dyDescent="0.25">
      <c r="A61" s="10">
        <v>44166</v>
      </c>
      <c r="B61" s="11">
        <v>2020</v>
      </c>
      <c r="C61" s="11" t="s">
        <v>34</v>
      </c>
      <c r="D61" s="11" t="s">
        <v>9</v>
      </c>
      <c r="E61" s="11">
        <v>1004</v>
      </c>
      <c r="F61" s="12" t="s">
        <v>23</v>
      </c>
      <c r="G61" s="11" t="s">
        <v>20</v>
      </c>
      <c r="H61" s="11">
        <v>1</v>
      </c>
      <c r="I61" s="13">
        <v>34432</v>
      </c>
      <c r="J61" s="14">
        <v>34432</v>
      </c>
    </row>
    <row r="62" spans="1:10" x14ac:dyDescent="0.25">
      <c r="A62" s="5">
        <v>44167</v>
      </c>
      <c r="B62" s="6">
        <v>2020</v>
      </c>
      <c r="C62" s="6" t="s">
        <v>34</v>
      </c>
      <c r="D62" s="6" t="s">
        <v>13</v>
      </c>
      <c r="E62" s="6">
        <v>1004</v>
      </c>
      <c r="F62" s="7" t="s">
        <v>23</v>
      </c>
      <c r="G62" s="6" t="s">
        <v>20</v>
      </c>
      <c r="H62" s="6">
        <v>1</v>
      </c>
      <c r="I62" s="8">
        <v>31232</v>
      </c>
      <c r="J62" s="9">
        <v>31232</v>
      </c>
    </row>
    <row r="63" spans="1:10" x14ac:dyDescent="0.25">
      <c r="A63" s="10">
        <v>44170</v>
      </c>
      <c r="B63" s="11">
        <v>2020</v>
      </c>
      <c r="C63" s="11" t="s">
        <v>34</v>
      </c>
      <c r="D63" s="11" t="s">
        <v>12</v>
      </c>
      <c r="E63" s="11">
        <v>1004</v>
      </c>
      <c r="F63" s="12" t="s">
        <v>23</v>
      </c>
      <c r="G63" s="11" t="s">
        <v>20</v>
      </c>
      <c r="H63" s="11">
        <v>1</v>
      </c>
      <c r="I63" s="13">
        <v>36863</v>
      </c>
      <c r="J63" s="14">
        <v>36863</v>
      </c>
    </row>
    <row r="64" spans="1:10" x14ac:dyDescent="0.25">
      <c r="A64" s="5">
        <v>44179</v>
      </c>
      <c r="B64" s="6">
        <v>2020</v>
      </c>
      <c r="C64" s="6" t="s">
        <v>34</v>
      </c>
      <c r="D64" s="6" t="s">
        <v>16</v>
      </c>
      <c r="E64" s="6">
        <v>1004</v>
      </c>
      <c r="F64" s="7" t="s">
        <v>23</v>
      </c>
      <c r="G64" s="6" t="s">
        <v>20</v>
      </c>
      <c r="H64" s="6">
        <v>1</v>
      </c>
      <c r="I64" s="8">
        <v>36334</v>
      </c>
      <c r="J64" s="9">
        <v>36334</v>
      </c>
    </row>
    <row r="65" spans="1:10" x14ac:dyDescent="0.25">
      <c r="A65" s="10">
        <v>44190</v>
      </c>
      <c r="B65" s="11">
        <v>2020</v>
      </c>
      <c r="C65" s="11" t="s">
        <v>34</v>
      </c>
      <c r="D65" s="11" t="s">
        <v>16</v>
      </c>
      <c r="E65" s="11">
        <v>1004</v>
      </c>
      <c r="F65" s="12" t="s">
        <v>23</v>
      </c>
      <c r="G65" s="11" t="s">
        <v>20</v>
      </c>
      <c r="H65" s="11">
        <v>1</v>
      </c>
      <c r="I65" s="13">
        <v>35273</v>
      </c>
      <c r="J65" s="14">
        <v>35273</v>
      </c>
    </row>
    <row r="66" spans="1:10" x14ac:dyDescent="0.25">
      <c r="A66" s="5">
        <v>44167</v>
      </c>
      <c r="B66" s="6">
        <v>2020</v>
      </c>
      <c r="C66" s="6" t="s">
        <v>34</v>
      </c>
      <c r="D66" s="6" t="s">
        <v>9</v>
      </c>
      <c r="E66" s="6">
        <v>1009</v>
      </c>
      <c r="F66" s="7" t="s">
        <v>24</v>
      </c>
      <c r="G66" s="6" t="s">
        <v>25</v>
      </c>
      <c r="H66" s="6">
        <v>1</v>
      </c>
      <c r="I66" s="8">
        <v>36729</v>
      </c>
      <c r="J66" s="9">
        <v>36729</v>
      </c>
    </row>
    <row r="67" spans="1:10" x14ac:dyDescent="0.25">
      <c r="A67" s="10">
        <v>44177</v>
      </c>
      <c r="B67" s="11">
        <v>2020</v>
      </c>
      <c r="C67" s="11" t="s">
        <v>34</v>
      </c>
      <c r="D67" s="11" t="s">
        <v>13</v>
      </c>
      <c r="E67" s="11">
        <v>1009</v>
      </c>
      <c r="F67" s="12" t="s">
        <v>24</v>
      </c>
      <c r="G67" s="11" t="s">
        <v>25</v>
      </c>
      <c r="H67" s="11">
        <v>1</v>
      </c>
      <c r="I67" s="13">
        <v>32499</v>
      </c>
      <c r="J67" s="14">
        <v>32499</v>
      </c>
    </row>
    <row r="68" spans="1:10" x14ac:dyDescent="0.25">
      <c r="A68" s="5">
        <v>44182</v>
      </c>
      <c r="B68" s="6">
        <v>2020</v>
      </c>
      <c r="C68" s="6" t="s">
        <v>34</v>
      </c>
      <c r="D68" s="6" t="s">
        <v>9</v>
      </c>
      <c r="E68" s="6">
        <v>1009</v>
      </c>
      <c r="F68" s="7" t="s">
        <v>24</v>
      </c>
      <c r="G68" s="6" t="s">
        <v>25</v>
      </c>
      <c r="H68" s="6">
        <v>1</v>
      </c>
      <c r="I68" s="8">
        <v>32919</v>
      </c>
      <c r="J68" s="9">
        <v>32919</v>
      </c>
    </row>
    <row r="69" spans="1:10" x14ac:dyDescent="0.25">
      <c r="A69" s="10">
        <v>44166</v>
      </c>
      <c r="B69" s="11">
        <v>2020</v>
      </c>
      <c r="C69" s="11" t="s">
        <v>34</v>
      </c>
      <c r="D69" s="11" t="s">
        <v>13</v>
      </c>
      <c r="E69" s="11">
        <v>1010</v>
      </c>
      <c r="F69" s="12" t="s">
        <v>26</v>
      </c>
      <c r="G69" s="11" t="s">
        <v>25</v>
      </c>
      <c r="H69" s="11">
        <v>1</v>
      </c>
      <c r="I69" s="13">
        <v>37829</v>
      </c>
      <c r="J69" s="14">
        <v>37829</v>
      </c>
    </row>
    <row r="70" spans="1:10" x14ac:dyDescent="0.25">
      <c r="A70" s="5">
        <v>44183</v>
      </c>
      <c r="B70" s="6">
        <v>2020</v>
      </c>
      <c r="C70" s="6" t="s">
        <v>34</v>
      </c>
      <c r="D70" s="6" t="s">
        <v>16</v>
      </c>
      <c r="E70" s="6">
        <v>1010</v>
      </c>
      <c r="F70" s="7" t="s">
        <v>26</v>
      </c>
      <c r="G70" s="6" t="s">
        <v>25</v>
      </c>
      <c r="H70" s="6">
        <v>1</v>
      </c>
      <c r="I70" s="8">
        <v>35269</v>
      </c>
      <c r="J70" s="9">
        <v>35269</v>
      </c>
    </row>
    <row r="71" spans="1:10" x14ac:dyDescent="0.25">
      <c r="A71" s="10">
        <v>44185</v>
      </c>
      <c r="B71" s="11">
        <v>2020</v>
      </c>
      <c r="C71" s="11" t="s">
        <v>34</v>
      </c>
      <c r="D71" s="11" t="s">
        <v>16</v>
      </c>
      <c r="E71" s="11">
        <v>1010</v>
      </c>
      <c r="F71" s="12" t="s">
        <v>26</v>
      </c>
      <c r="G71" s="11" t="s">
        <v>25</v>
      </c>
      <c r="H71" s="11">
        <v>1</v>
      </c>
      <c r="I71" s="13">
        <v>35671</v>
      </c>
      <c r="J71" s="14">
        <v>35671</v>
      </c>
    </row>
    <row r="72" spans="1:10" x14ac:dyDescent="0.25">
      <c r="A72" s="5">
        <v>44176</v>
      </c>
      <c r="B72" s="6">
        <v>2020</v>
      </c>
      <c r="C72" s="6" t="s">
        <v>34</v>
      </c>
      <c r="D72" s="6" t="s">
        <v>12</v>
      </c>
      <c r="E72" s="6">
        <v>1011</v>
      </c>
      <c r="F72" s="7" t="s">
        <v>27</v>
      </c>
      <c r="G72" s="6" t="s">
        <v>25</v>
      </c>
      <c r="H72" s="6">
        <v>1</v>
      </c>
      <c r="I72" s="8">
        <v>34593</v>
      </c>
      <c r="J72" s="9">
        <v>34593</v>
      </c>
    </row>
    <row r="73" spans="1:10" x14ac:dyDescent="0.25">
      <c r="A73" s="10">
        <v>44177</v>
      </c>
      <c r="B73" s="11">
        <v>2020</v>
      </c>
      <c r="C73" s="11" t="s">
        <v>34</v>
      </c>
      <c r="D73" s="11" t="s">
        <v>13</v>
      </c>
      <c r="E73" s="11">
        <v>1011</v>
      </c>
      <c r="F73" s="12" t="s">
        <v>27</v>
      </c>
      <c r="G73" s="11" t="s">
        <v>25</v>
      </c>
      <c r="H73" s="11">
        <v>1</v>
      </c>
      <c r="I73" s="13">
        <v>33501</v>
      </c>
      <c r="J73" s="14">
        <v>33501</v>
      </c>
    </row>
    <row r="74" spans="1:10" x14ac:dyDescent="0.25">
      <c r="A74" s="15">
        <v>44180</v>
      </c>
      <c r="B74" s="16">
        <v>2020</v>
      </c>
      <c r="C74" s="16" t="s">
        <v>34</v>
      </c>
      <c r="D74" s="16" t="s">
        <v>16</v>
      </c>
      <c r="E74" s="16">
        <v>1011</v>
      </c>
      <c r="F74" s="17" t="s">
        <v>27</v>
      </c>
      <c r="G74" s="16" t="s">
        <v>25</v>
      </c>
      <c r="H74" s="16">
        <v>1</v>
      </c>
      <c r="I74" s="18">
        <v>39612</v>
      </c>
      <c r="J74" s="19">
        <v>39612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Copy, Cut, Paste</vt:lpstr>
      <vt:lpstr>January 2020</vt:lpstr>
      <vt:lpstr>February 2020</vt:lpstr>
      <vt:lpstr>March 2020</vt:lpstr>
      <vt:lpstr>April 2020</vt:lpstr>
      <vt:lpstr>May 2020</vt:lpstr>
      <vt:lpstr>June 2020</vt:lpstr>
      <vt:lpstr>July 2020</vt:lpstr>
      <vt:lpstr>August 2020</vt:lpstr>
      <vt:lpstr>September 2020</vt:lpstr>
      <vt:lpstr>October 2020</vt:lpstr>
      <vt:lpstr>November 2020</vt:lpstr>
      <vt:lpstr>December 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Lazarte</dc:creator>
  <cp:lastModifiedBy>MORA .PSR</cp:lastModifiedBy>
  <dcterms:created xsi:type="dcterms:W3CDTF">2020-01-05T08:25:19Z</dcterms:created>
  <dcterms:modified xsi:type="dcterms:W3CDTF">2021-01-31T07:45:34Z</dcterms:modified>
</cp:coreProperties>
</file>